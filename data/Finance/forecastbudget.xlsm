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worksheets/sheet8.xml" ContentType="application/vnd.openxmlformats-officedocument.spreadsheetml.worksheet+xml"/>
  <Override PartName="/xl/chartsheets/sheet5.xml" ContentType="application/vnd.openxmlformats-officedocument.spreadsheetml.chartsheet+xml"/>
  <Override PartName="/xl/worksheets/sheet9.xml" ContentType="application/vnd.openxmlformats-officedocument.spreadsheetml.worksheet+xml"/>
  <Override PartName="/xl/chartsheets/sheet6.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harts/chart4.xml" ContentType="application/vnd.openxmlformats-officedocument.drawingml.chart+xml"/>
  <Override PartName="/xl/drawings/drawing10.xml" ContentType="application/vnd.openxmlformats-officedocument.drawingml.chartshapes+xml"/>
  <Override PartName="/xl/comments3.xml" ContentType="application/vnd.openxmlformats-officedocument.spreadsheetml.comments+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comments4.xml" ContentType="application/vnd.openxmlformats-officedocument.spreadsheetml.comments+xml"/>
  <Override PartName="/xl/drawings/drawing14.xml" ContentType="application/vnd.openxmlformats-officedocument.drawing+xml"/>
  <Override PartName="/xl/charts/chart6.xml" ContentType="application/vnd.openxmlformats-officedocument.drawingml.chart+xml"/>
  <Override PartName="/xl/drawings/drawing15.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827" codeName="{B6124F1A-AFFB-F854-7757-9A1D4C6FC43C}"/>
  <workbookPr codeName="ThisWorkbook"/>
  <mc:AlternateContent xmlns:mc="http://schemas.openxmlformats.org/markup-compatibility/2006">
    <mc:Choice Requires="x15">
      <x15ac:absPath xmlns:x15ac="http://schemas.microsoft.com/office/spreadsheetml/2010/11/ac" url="C:\Users\david\Documents\sites\bizpep\downloads\"/>
    </mc:Choice>
  </mc:AlternateContent>
  <xr:revisionPtr revIDLastSave="0" documentId="13_ncr:1_{7A0C5581-E3B0-455C-8444-D37218231D39}" xr6:coauthVersionLast="47" xr6:coauthVersionMax="47" xr10:uidLastSave="{00000000-0000-0000-0000-000000000000}"/>
  <workbookProtection workbookAlgorithmName="SHA-512" workbookHashValue="MmqqkNo1gNf2ESDSLlYfpuxKiIgry8k3MMwIc7j9GTKz27qt69bRpRfWOWx2OTq2+0A8KQJwwkGQNcdwTjyJBA==" workbookSaltValue="/ppOsgocssS2hHtAd50sog==" workbookSpinCount="100000" lockStructure="1"/>
  <bookViews>
    <workbookView xWindow="-120" yWindow="-120" windowWidth="20730" windowHeight="11760" tabRatio="599" xr2:uid="{00000000-000D-0000-FFFF-FFFF00000000}"/>
  </bookViews>
  <sheets>
    <sheet name="Macros Required" sheetId="53" r:id="rId1"/>
    <sheet name="Welcome" sheetId="52" r:id="rId2"/>
    <sheet name="Input" sheetId="31" r:id="rId3"/>
    <sheet name="Sensitivity Analysis" sheetId="34" r:id="rId4"/>
    <sheet name="Expected Results" sheetId="36" r:id="rId5"/>
    <sheet name="Optimistic Results" sheetId="38" r:id="rId6"/>
    <sheet name="Pessimistic Results" sheetId="37" r:id="rId7"/>
    <sheet name="Forecast Revenue Chart" sheetId="39" r:id="rId8"/>
    <sheet name="Forecast Surplus Chart" sheetId="49" r:id="rId9"/>
    <sheet name="Forecast Return Chart" sheetId="40" r:id="rId10"/>
    <sheet name="Operating Surplus Chart" sheetId="41" r:id="rId11"/>
    <sheet name="Budget by Month Master" sheetId="44" r:id="rId12"/>
    <sheet name="Budget by Month Master Chart" sheetId="48" r:id="rId13"/>
    <sheet name="Budget by Month" sheetId="46" r:id="rId14"/>
    <sheet name="Budget by Month Chart" sheetId="47" r:id="rId15"/>
    <sheet name="Instructions" sheetId="17" r:id="rId16"/>
    <sheet name="Worksheet" sheetId="32" state="hidden" r:id="rId17"/>
    <sheet name="Scratch" sheetId="51" state="hidden" r:id="rId18"/>
  </sheets>
  <definedNames>
    <definedName name="buyurl">Welcome!$B$13</definedName>
    <definedName name="inbusname">Input!$C$11</definedName>
    <definedName name="inbusrev">Input!$C$13</definedName>
    <definedName name="infixcost">Input!$C$25:$C$30</definedName>
    <definedName name="inmonper">Input!$C$15</definedName>
    <definedName name="invarcost">Input!$C$17:$C$22</definedName>
    <definedName name="licCode">Welcome!$C$19</definedName>
    <definedName name="licEmail">Welcome!$C$18</definedName>
    <definedName name="_xlnm.Print_Area" localSheetId="13">'Budget by Month'!$C$1:$R$62</definedName>
    <definedName name="_xlnm.Print_Area" localSheetId="11">'Budget by Month Master'!$B$1:$Q$62</definedName>
    <definedName name="_xlnm.Print_Area" localSheetId="4">'Expected Results'!$A$1:$H$62</definedName>
    <definedName name="_xlnm.Print_Area" localSheetId="2">Input!$A$1:$G$79</definedName>
    <definedName name="_xlnm.Print_Area" localSheetId="15">Instructions!$B$1:$D$77</definedName>
    <definedName name="_xlnm.Print_Area" localSheetId="0">'Macros Required'!$A$1:$B$15</definedName>
    <definedName name="_xlnm.Print_Area" localSheetId="5">'Optimistic Results'!$A$1:$H$62</definedName>
    <definedName name="_xlnm.Print_Area" localSheetId="6">'Pessimistic Results'!$A$1:$H$62</definedName>
    <definedName name="status" localSheetId="17">Scratch!$C$56</definedName>
    <definedName name="title">Welcome!$B$1</definedName>
    <definedName name="validTo">Welcome!$C$20</definedName>
  </definedNames>
  <calcPr calcId="191029" iterate="1"/>
  <customWorkbookViews>
    <customWorkbookView name="Decision Assistant" guid="{5C56E142-F65F-11D3-8364-85A39FD5096C}" maximized="1" windowWidth="794" windowHeight="437" tabRatio="599" activeSheetId="1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9" i="51" l="1"/>
  <c r="C60" i="51"/>
  <c r="C61" i="51"/>
  <c r="C62" i="51"/>
  <c r="C63" i="51"/>
  <c r="C64" i="51"/>
  <c r="C65" i="51"/>
  <c r="C66" i="51"/>
  <c r="C67" i="51"/>
  <c r="C68" i="51"/>
  <c r="C69" i="51"/>
  <c r="C70" i="51"/>
  <c r="C71" i="51"/>
  <c r="C72" i="51"/>
  <c r="C73" i="51"/>
  <c r="C74" i="51"/>
  <c r="C75" i="51"/>
  <c r="C76" i="51"/>
  <c r="C77" i="51"/>
  <c r="C78" i="51"/>
  <c r="C79" i="51"/>
  <c r="C80" i="51"/>
  <c r="C81" i="51"/>
  <c r="C82" i="51"/>
  <c r="C83" i="51"/>
  <c r="C84" i="51"/>
  <c r="C85" i="51"/>
  <c r="C86" i="51"/>
  <c r="C87" i="51"/>
  <c r="C88" i="51"/>
  <c r="C89" i="51"/>
  <c r="C90" i="51"/>
  <c r="C91" i="51"/>
  <c r="C92" i="51"/>
  <c r="C93" i="51"/>
  <c r="C94" i="51"/>
  <c r="C95" i="51"/>
  <c r="C96" i="51"/>
  <c r="C97" i="51"/>
  <c r="C98" i="51"/>
  <c r="C99" i="51"/>
  <c r="C100" i="51"/>
  <c r="C101" i="51"/>
  <c r="C102" i="51"/>
  <c r="C103" i="51"/>
  <c r="C104" i="51"/>
  <c r="C105" i="51"/>
  <c r="C106" i="51"/>
  <c r="C107" i="51"/>
  <c r="C58" i="51"/>
  <c r="B54" i="51"/>
  <c r="B53" i="51"/>
  <c r="B5" i="31"/>
  <c r="B1" i="53" l="1"/>
  <c r="C107" i="52"/>
  <c r="C106" i="52"/>
  <c r="C105" i="52"/>
  <c r="C104" i="52"/>
  <c r="C103" i="52"/>
  <c r="C102" i="52"/>
  <c r="C101" i="52"/>
  <c r="C100" i="52"/>
  <c r="C99" i="52"/>
  <c r="C98" i="52"/>
  <c r="C97" i="52"/>
  <c r="C96" i="52"/>
  <c r="C95" i="52"/>
  <c r="C94" i="52"/>
  <c r="C93" i="52"/>
  <c r="C92" i="52"/>
  <c r="C91" i="52"/>
  <c r="C90" i="52"/>
  <c r="C89" i="52"/>
  <c r="C88" i="52"/>
  <c r="C87" i="52"/>
  <c r="C86" i="52"/>
  <c r="C85" i="52"/>
  <c r="C84" i="52"/>
  <c r="C83" i="52"/>
  <c r="C82" i="52"/>
  <c r="C81" i="52"/>
  <c r="C80" i="52"/>
  <c r="C79" i="52"/>
  <c r="C78" i="52"/>
  <c r="C77" i="52"/>
  <c r="C76" i="52"/>
  <c r="C75" i="52"/>
  <c r="C74" i="52"/>
  <c r="C73" i="52"/>
  <c r="C72" i="52"/>
  <c r="C71" i="52"/>
  <c r="C70" i="52"/>
  <c r="C69" i="52"/>
  <c r="C68" i="52"/>
  <c r="C67" i="52"/>
  <c r="C66" i="52"/>
  <c r="C65" i="52"/>
  <c r="C64" i="52"/>
  <c r="C63" i="52"/>
  <c r="C62" i="52"/>
  <c r="C61" i="52"/>
  <c r="C60" i="52"/>
  <c r="C59" i="52"/>
  <c r="C58" i="52"/>
  <c r="B54" i="52"/>
  <c r="B53" i="52"/>
  <c r="D107" i="51"/>
  <c r="D106" i="51"/>
  <c r="D105" i="51"/>
  <c r="D104" i="51"/>
  <c r="D103" i="51"/>
  <c r="D102" i="51"/>
  <c r="D101" i="51"/>
  <c r="D100" i="51"/>
  <c r="D99" i="51"/>
  <c r="D98" i="51"/>
  <c r="D97" i="51"/>
  <c r="D96" i="51"/>
  <c r="D95" i="51"/>
  <c r="D94" i="51"/>
  <c r="D93" i="51"/>
  <c r="D92" i="51"/>
  <c r="D91" i="51"/>
  <c r="D90" i="51"/>
  <c r="D89" i="51"/>
  <c r="D88" i="51"/>
  <c r="D87" i="51"/>
  <c r="D86" i="51"/>
  <c r="D85" i="51"/>
  <c r="D84" i="51"/>
  <c r="D83" i="51"/>
  <c r="D82" i="51"/>
  <c r="D81" i="51"/>
  <c r="D80" i="51"/>
  <c r="D79" i="51"/>
  <c r="D78" i="51"/>
  <c r="D77" i="51"/>
  <c r="D76" i="51"/>
  <c r="D75" i="51"/>
  <c r="D74" i="51"/>
  <c r="D73" i="51"/>
  <c r="D72" i="51"/>
  <c r="D71" i="51"/>
  <c r="D70" i="51"/>
  <c r="D69" i="51"/>
  <c r="D68" i="51"/>
  <c r="D67" i="51"/>
  <c r="D66" i="51"/>
  <c r="D65" i="51"/>
  <c r="D64" i="51"/>
  <c r="D63" i="51"/>
  <c r="D62" i="51"/>
  <c r="D61" i="51"/>
  <c r="D60" i="51"/>
  <c r="G59" i="51"/>
  <c r="D59" i="51"/>
  <c r="H58" i="51"/>
  <c r="I58" i="51" s="1"/>
  <c r="J58" i="51" s="1"/>
  <c r="G58" i="51"/>
  <c r="D58" i="51"/>
  <c r="B58" i="51"/>
  <c r="D46" i="51"/>
  <c r="D45" i="51"/>
  <c r="D44" i="51"/>
  <c r="D43" i="51"/>
  <c r="B43" i="51"/>
  <c r="B44" i="51" s="1"/>
  <c r="B45" i="51" s="1"/>
  <c r="B46" i="51" s="1"/>
  <c r="E46" i="51" s="1"/>
  <c r="D42" i="51"/>
  <c r="B42" i="51"/>
  <c r="B59" i="51" l="1"/>
  <c r="E58" i="51"/>
  <c r="E45" i="51"/>
  <c r="G60" i="51"/>
  <c r="H59" i="51"/>
  <c r="I59" i="51" s="1"/>
  <c r="J59" i="51" s="1"/>
  <c r="E44" i="51"/>
  <c r="E42" i="51"/>
  <c r="E43" i="51"/>
  <c r="G61" i="51" l="1"/>
  <c r="H60" i="51"/>
  <c r="I60" i="51" s="1"/>
  <c r="J60" i="51"/>
  <c r="E41" i="51"/>
  <c r="E59" i="51"/>
  <c r="B60" i="51"/>
  <c r="B61" i="51" l="1"/>
  <c r="E60" i="51"/>
  <c r="H61" i="51"/>
  <c r="I61" i="51" s="1"/>
  <c r="J61" i="51" s="1"/>
  <c r="G62" i="51"/>
  <c r="G63" i="51" l="1"/>
  <c r="H62" i="51"/>
  <c r="I62" i="51" s="1"/>
  <c r="J62" i="51" s="1"/>
  <c r="B62" i="51"/>
  <c r="E61" i="51"/>
  <c r="G64" i="51" l="1"/>
  <c r="H63" i="51"/>
  <c r="I63" i="51" s="1"/>
  <c r="J63" i="51" s="1"/>
  <c r="E62" i="51"/>
  <c r="B63" i="51"/>
  <c r="E63" i="51" l="1"/>
  <c r="B64" i="51"/>
  <c r="G65" i="51"/>
  <c r="H64" i="51"/>
  <c r="I64" i="51" s="1"/>
  <c r="J64" i="51" s="1"/>
  <c r="B65" i="51" l="1"/>
  <c r="E64" i="51"/>
  <c r="H65" i="51"/>
  <c r="I65" i="51" s="1"/>
  <c r="J65" i="51" s="1"/>
  <c r="G66" i="51"/>
  <c r="H66" i="51" l="1"/>
  <c r="I66" i="51" s="1"/>
  <c r="J66" i="51"/>
  <c r="G67" i="51"/>
  <c r="B66" i="51"/>
  <c r="E65" i="51"/>
  <c r="B67" i="51" l="1"/>
  <c r="E66" i="51"/>
  <c r="G68" i="51"/>
  <c r="H67" i="51"/>
  <c r="I67" i="51" s="1"/>
  <c r="J67" i="51" s="1"/>
  <c r="G69" i="51" l="1"/>
  <c r="H68" i="51"/>
  <c r="I68" i="51" s="1"/>
  <c r="J68" i="51" s="1"/>
  <c r="E67" i="51"/>
  <c r="B68" i="51"/>
  <c r="H69" i="51" l="1"/>
  <c r="I69" i="51" s="1"/>
  <c r="J69" i="51" s="1"/>
  <c r="G70" i="51"/>
  <c r="B69" i="51"/>
  <c r="E68" i="51"/>
  <c r="B70" i="51" l="1"/>
  <c r="E69" i="51"/>
  <c r="G71" i="51"/>
  <c r="H70" i="51"/>
  <c r="I70" i="51" s="1"/>
  <c r="J70" i="51" s="1"/>
  <c r="G72" i="51" l="1"/>
  <c r="H71" i="51"/>
  <c r="I71" i="51" s="1"/>
  <c r="J71" i="51" s="1"/>
  <c r="B71" i="51"/>
  <c r="E70" i="51"/>
  <c r="H72" i="51" l="1"/>
  <c r="I72" i="51" s="1"/>
  <c r="J72" i="51" s="1"/>
  <c r="G73" i="51"/>
  <c r="E71" i="51"/>
  <c r="B72" i="51"/>
  <c r="B73" i="51" l="1"/>
  <c r="E72" i="51"/>
  <c r="H73" i="51"/>
  <c r="I73" i="51" s="1"/>
  <c r="J73" i="51" s="1"/>
  <c r="G74" i="51"/>
  <c r="H74" i="51" l="1"/>
  <c r="I74" i="51" s="1"/>
  <c r="J74" i="51"/>
  <c r="G75" i="51"/>
  <c r="B74" i="51"/>
  <c r="E73" i="51"/>
  <c r="B75" i="51" l="1"/>
  <c r="E74" i="51"/>
  <c r="G76" i="51"/>
  <c r="H75" i="51"/>
  <c r="I75" i="51" s="1"/>
  <c r="J75" i="51" s="1"/>
  <c r="G77" i="51" l="1"/>
  <c r="H76" i="51"/>
  <c r="I76" i="51" s="1"/>
  <c r="J76" i="51" s="1"/>
  <c r="E75" i="51"/>
  <c r="B76" i="51"/>
  <c r="H77" i="51" l="1"/>
  <c r="I77" i="51" s="1"/>
  <c r="J77" i="51" s="1"/>
  <c r="G78" i="51"/>
  <c r="B77" i="51"/>
  <c r="E76" i="51"/>
  <c r="B78" i="51" l="1"/>
  <c r="E77" i="51"/>
  <c r="G79" i="51"/>
  <c r="H78" i="51"/>
  <c r="I78" i="51" s="1"/>
  <c r="J78" i="51" s="1"/>
  <c r="G80" i="51" l="1"/>
  <c r="H79" i="51"/>
  <c r="I79" i="51" s="1"/>
  <c r="J79" i="51" s="1"/>
  <c r="E78" i="51"/>
  <c r="B79" i="51"/>
  <c r="E79" i="51" l="1"/>
  <c r="B80" i="51"/>
  <c r="H80" i="51"/>
  <c r="I80" i="51" s="1"/>
  <c r="J80" i="51" s="1"/>
  <c r="G81" i="51"/>
  <c r="B81" i="51" l="1"/>
  <c r="E80" i="51"/>
  <c r="H81" i="51"/>
  <c r="I81" i="51" s="1"/>
  <c r="J81" i="51" s="1"/>
  <c r="G82" i="51"/>
  <c r="B82" i="51" l="1"/>
  <c r="E81" i="51"/>
  <c r="G83" i="51"/>
  <c r="H82" i="51"/>
  <c r="I82" i="51" s="1"/>
  <c r="J82" i="51" s="1"/>
  <c r="G84" i="51" l="1"/>
  <c r="H83" i="51"/>
  <c r="I83" i="51" s="1"/>
  <c r="J83" i="51" s="1"/>
  <c r="B83" i="51"/>
  <c r="E82" i="51"/>
  <c r="G85" i="51" l="1"/>
  <c r="H84" i="51"/>
  <c r="I84" i="51" s="1"/>
  <c r="J84" i="51" s="1"/>
  <c r="E83" i="51"/>
  <c r="B84" i="51"/>
  <c r="B85" i="51" l="1"/>
  <c r="E84" i="51"/>
  <c r="H85" i="51"/>
  <c r="I85" i="51" s="1"/>
  <c r="J85" i="51" s="1"/>
  <c r="G86" i="51"/>
  <c r="G87" i="51" l="1"/>
  <c r="H86" i="51"/>
  <c r="I86" i="51" s="1"/>
  <c r="J86" i="51" s="1"/>
  <c r="B86" i="51"/>
  <c r="E85" i="51"/>
  <c r="E86" i="51" l="1"/>
  <c r="B87" i="51"/>
  <c r="G88" i="51"/>
  <c r="H87" i="51"/>
  <c r="I87" i="51" s="1"/>
  <c r="J87" i="51" s="1"/>
  <c r="H88" i="51" l="1"/>
  <c r="I88" i="51" s="1"/>
  <c r="J88" i="51" s="1"/>
  <c r="G89" i="51"/>
  <c r="E87" i="51"/>
  <c r="B88" i="51"/>
  <c r="B89" i="51" l="1"/>
  <c r="E88" i="51"/>
  <c r="H89" i="51"/>
  <c r="I89" i="51" s="1"/>
  <c r="J89" i="51" s="1"/>
  <c r="G90" i="51"/>
  <c r="G91" i="51" l="1"/>
  <c r="H90" i="51"/>
  <c r="I90" i="51" s="1"/>
  <c r="J90" i="51" s="1"/>
  <c r="E89" i="51"/>
  <c r="B90" i="51"/>
  <c r="B91" i="51" l="1"/>
  <c r="E90" i="51"/>
  <c r="G92" i="51"/>
  <c r="J91" i="51"/>
  <c r="H91" i="51"/>
  <c r="I91" i="51" s="1"/>
  <c r="G93" i="51" l="1"/>
  <c r="H92" i="51"/>
  <c r="I92" i="51" s="1"/>
  <c r="J92" i="51" s="1"/>
  <c r="E91" i="51"/>
  <c r="B92" i="51"/>
  <c r="B93" i="51" l="1"/>
  <c r="E92" i="51"/>
  <c r="H93" i="51"/>
  <c r="I93" i="51" s="1"/>
  <c r="J93" i="51" s="1"/>
  <c r="G94" i="51"/>
  <c r="G95" i="51" l="1"/>
  <c r="H94" i="51"/>
  <c r="I94" i="51" s="1"/>
  <c r="J94" i="51" s="1"/>
  <c r="B94" i="51"/>
  <c r="E93" i="51"/>
  <c r="B95" i="51" l="1"/>
  <c r="E94" i="51"/>
  <c r="G96" i="51"/>
  <c r="J95" i="51"/>
  <c r="H95" i="51"/>
  <c r="I95" i="51" s="1"/>
  <c r="G97" i="51" l="1"/>
  <c r="H96" i="51"/>
  <c r="I96" i="51" s="1"/>
  <c r="J96" i="51" s="1"/>
  <c r="E95" i="51"/>
  <c r="B96" i="51"/>
  <c r="H97" i="51" l="1"/>
  <c r="I97" i="51" s="1"/>
  <c r="G98" i="51"/>
  <c r="J97" i="51"/>
  <c r="B97" i="51"/>
  <c r="E96" i="51"/>
  <c r="G99" i="51" l="1"/>
  <c r="H98" i="51"/>
  <c r="I98" i="51" s="1"/>
  <c r="J98" i="51" s="1"/>
  <c r="E97" i="51"/>
  <c r="B98" i="51"/>
  <c r="B99" i="51" l="1"/>
  <c r="E98" i="51"/>
  <c r="G100" i="51"/>
  <c r="J99" i="51"/>
  <c r="H99" i="51"/>
  <c r="I99" i="51" s="1"/>
  <c r="G101" i="51" l="1"/>
  <c r="H100" i="51"/>
  <c r="I100" i="51" s="1"/>
  <c r="J100" i="51"/>
  <c r="E99" i="51"/>
  <c r="B100" i="51"/>
  <c r="B101" i="51" l="1"/>
  <c r="E100" i="51"/>
  <c r="H101" i="51"/>
  <c r="I101" i="51" s="1"/>
  <c r="J101" i="51" s="1"/>
  <c r="G102" i="51"/>
  <c r="G103" i="51" l="1"/>
  <c r="H102" i="51"/>
  <c r="I102" i="51" s="1"/>
  <c r="J102" i="51" s="1"/>
  <c r="B102" i="51"/>
  <c r="E101" i="51"/>
  <c r="G104" i="51" l="1"/>
  <c r="H103" i="51"/>
  <c r="I103" i="51" s="1"/>
  <c r="J103" i="51" s="1"/>
  <c r="B103" i="51"/>
  <c r="E102" i="51"/>
  <c r="E103" i="51" l="1"/>
  <c r="B104" i="51"/>
  <c r="G105" i="51"/>
  <c r="H104" i="51"/>
  <c r="I104" i="51" s="1"/>
  <c r="J104" i="51" s="1"/>
  <c r="H105" i="51" l="1"/>
  <c r="I105" i="51" s="1"/>
  <c r="J105" i="51" s="1"/>
  <c r="G106" i="51"/>
  <c r="B105" i="51"/>
  <c r="E104" i="51"/>
  <c r="B106" i="51" l="1"/>
  <c r="E105" i="51"/>
  <c r="H106" i="51"/>
  <c r="I106" i="51" s="1"/>
  <c r="J106" i="51" s="1"/>
  <c r="G107" i="51"/>
  <c r="J107" i="51" l="1"/>
  <c r="J57" i="51" s="1"/>
  <c r="J56" i="51" s="1"/>
  <c r="H107" i="51"/>
  <c r="I107" i="51" s="1"/>
  <c r="E106" i="51"/>
  <c r="B107" i="51"/>
  <c r="E107" i="51" s="1"/>
  <c r="E57" i="51" s="1"/>
  <c r="C54" i="51" l="1"/>
  <c r="C54" i="52"/>
  <c r="F6" i="46"/>
  <c r="G6" i="46" s="1"/>
  <c r="H6" i="46" s="1"/>
  <c r="I6" i="46" s="1"/>
  <c r="J6" i="46" s="1"/>
  <c r="K6" i="46" s="1"/>
  <c r="L6" i="46" s="1"/>
  <c r="M6" i="46" s="1"/>
  <c r="N6" i="46" s="1"/>
  <c r="O6" i="46" s="1"/>
  <c r="P6" i="46" s="1"/>
  <c r="Q8" i="46"/>
  <c r="G9" i="46" s="1"/>
  <c r="Q10" i="46"/>
  <c r="D12" i="46"/>
  <c r="D44" i="46" s="1"/>
  <c r="Q17" i="46"/>
  <c r="R17" i="46" s="1"/>
  <c r="R18" i="46" s="1"/>
  <c r="Q19" i="46"/>
  <c r="Q21" i="46"/>
  <c r="Q23" i="46"/>
  <c r="R23" i="46" s="1"/>
  <c r="Q25" i="46"/>
  <c r="R25" i="46" s="1"/>
  <c r="R26" i="46" s="1"/>
  <c r="Q27" i="46"/>
  <c r="R27" i="46" s="1"/>
  <c r="R28" i="46" s="1"/>
  <c r="D29" i="46"/>
  <c r="E12" i="46"/>
  <c r="E44" i="46" s="1"/>
  <c r="E47" i="46"/>
  <c r="E29" i="46"/>
  <c r="F12" i="46"/>
  <c r="F40" i="46" s="1"/>
  <c r="F47" i="46"/>
  <c r="F29" i="46"/>
  <c r="G12" i="46"/>
  <c r="G44" i="46" s="1"/>
  <c r="G47" i="46"/>
  <c r="G29" i="46"/>
  <c r="H12" i="46"/>
  <c r="H44" i="46" s="1"/>
  <c r="H47" i="46"/>
  <c r="H29" i="46"/>
  <c r="I12" i="46"/>
  <c r="I44" i="46" s="1"/>
  <c r="I47" i="46"/>
  <c r="I29" i="46"/>
  <c r="J12" i="46"/>
  <c r="J46" i="46" s="1"/>
  <c r="J47" i="46"/>
  <c r="J29" i="46"/>
  <c r="K12" i="46"/>
  <c r="K44" i="46" s="1"/>
  <c r="K47" i="46"/>
  <c r="K29" i="46"/>
  <c r="L12" i="46"/>
  <c r="L44" i="46" s="1"/>
  <c r="L47" i="46"/>
  <c r="L29" i="46"/>
  <c r="M12" i="46"/>
  <c r="M44" i="46" s="1"/>
  <c r="M47" i="46"/>
  <c r="M29" i="46"/>
  <c r="N12" i="46"/>
  <c r="N40" i="46" s="1"/>
  <c r="N47" i="46"/>
  <c r="N29" i="46"/>
  <c r="O12" i="46"/>
  <c r="O44" i="46" s="1"/>
  <c r="O47" i="46"/>
  <c r="O29" i="46"/>
  <c r="O31" i="46" s="1"/>
  <c r="O32" i="46" s="1"/>
  <c r="P12" i="46"/>
  <c r="P44" i="46" s="1"/>
  <c r="P47" i="46"/>
  <c r="P29" i="46"/>
  <c r="Q35" i="46"/>
  <c r="Q37" i="46"/>
  <c r="Q39" i="46"/>
  <c r="Q41" i="46"/>
  <c r="R41" i="46" s="1"/>
  <c r="R42" i="46" s="1"/>
  <c r="Q43" i="46"/>
  <c r="R43" i="46" s="1"/>
  <c r="R44" i="46" s="1"/>
  <c r="Q45" i="46"/>
  <c r="R45" i="46" s="1"/>
  <c r="R46" i="46" s="1"/>
  <c r="Q56" i="46"/>
  <c r="R56" i="46" s="1"/>
  <c r="D47" i="46"/>
  <c r="D50" i="46" s="1"/>
  <c r="E33" i="46"/>
  <c r="F33" i="46"/>
  <c r="G33" i="46"/>
  <c r="I33" i="46"/>
  <c r="J33" i="46"/>
  <c r="K33" i="46"/>
  <c r="M33" i="46"/>
  <c r="N33" i="46"/>
  <c r="O33" i="46"/>
  <c r="R39" i="46"/>
  <c r="R40" i="46" s="1"/>
  <c r="R37" i="46"/>
  <c r="R38" i="46" s="1"/>
  <c r="R35" i="46"/>
  <c r="R36" i="46" s="1"/>
  <c r="R24" i="46"/>
  <c r="R21" i="46"/>
  <c r="R22" i="46" s="1"/>
  <c r="F48" i="46"/>
  <c r="G46" i="46"/>
  <c r="I46" i="46"/>
  <c r="K46" i="46"/>
  <c r="O46" i="46"/>
  <c r="N44" i="46"/>
  <c r="E40" i="46"/>
  <c r="G40" i="46"/>
  <c r="I40" i="46"/>
  <c r="K40" i="46"/>
  <c r="M40" i="46"/>
  <c r="O40" i="46"/>
  <c r="E38" i="46"/>
  <c r="G38" i="46"/>
  <c r="I38" i="46"/>
  <c r="K38" i="46"/>
  <c r="M38" i="46"/>
  <c r="O38" i="46"/>
  <c r="D46" i="46"/>
  <c r="D38" i="46"/>
  <c r="G31" i="46"/>
  <c r="G32" i="46" s="1"/>
  <c r="K31" i="46"/>
  <c r="K32" i="46" s="1"/>
  <c r="E28" i="46"/>
  <c r="G28" i="46"/>
  <c r="I28" i="46"/>
  <c r="K28" i="46"/>
  <c r="M28" i="46"/>
  <c r="O28" i="46"/>
  <c r="E26" i="46"/>
  <c r="G26" i="46"/>
  <c r="I26" i="46"/>
  <c r="K26" i="46"/>
  <c r="M26" i="46"/>
  <c r="O26" i="46"/>
  <c r="D26" i="46"/>
  <c r="E24" i="46"/>
  <c r="G24" i="46"/>
  <c r="K24" i="46"/>
  <c r="M24" i="46"/>
  <c r="O24" i="46"/>
  <c r="G22" i="46"/>
  <c r="I22" i="46"/>
  <c r="K22" i="46"/>
  <c r="O22" i="46"/>
  <c r="D22" i="46"/>
  <c r="E20" i="46"/>
  <c r="G20" i="46"/>
  <c r="I20" i="46"/>
  <c r="K20" i="46"/>
  <c r="M20" i="46"/>
  <c r="O20" i="46"/>
  <c r="J18" i="46"/>
  <c r="F11" i="46"/>
  <c r="G11" i="46"/>
  <c r="H11" i="46"/>
  <c r="I11" i="46"/>
  <c r="J11" i="46"/>
  <c r="K11" i="46"/>
  <c r="L11" i="46"/>
  <c r="M11" i="46"/>
  <c r="N11" i="46"/>
  <c r="O11" i="46"/>
  <c r="P11" i="46"/>
  <c r="Q11" i="46"/>
  <c r="E11" i="46"/>
  <c r="M9" i="46"/>
  <c r="Q6" i="46"/>
  <c r="R5" i="46"/>
  <c r="C12" i="46"/>
  <c r="P7" i="44"/>
  <c r="J3" i="44" s="1"/>
  <c r="K3" i="46" s="1"/>
  <c r="B18" i="44"/>
  <c r="C18" i="46" s="1"/>
  <c r="B20" i="44"/>
  <c r="C20" i="46" s="1"/>
  <c r="B22" i="44"/>
  <c r="C22" i="46" s="1"/>
  <c r="B24" i="44"/>
  <c r="C24" i="46" s="1"/>
  <c r="B26" i="44"/>
  <c r="C26" i="46" s="1"/>
  <c r="B28" i="44"/>
  <c r="C28" i="46" s="1"/>
  <c r="B31" i="44"/>
  <c r="C31" i="46" s="1"/>
  <c r="B32" i="44"/>
  <c r="C32" i="46" s="1"/>
  <c r="B33" i="44"/>
  <c r="C33" i="46" s="1"/>
  <c r="B36" i="44"/>
  <c r="C36" i="46" s="1"/>
  <c r="B38" i="44"/>
  <c r="C38" i="46" s="1"/>
  <c r="B40" i="44"/>
  <c r="C40" i="46" s="1"/>
  <c r="B42" i="44"/>
  <c r="C42" i="46" s="1"/>
  <c r="B44" i="44"/>
  <c r="C44" i="46" s="1"/>
  <c r="B46" i="44"/>
  <c r="C46" i="46" s="1"/>
  <c r="B50" i="44"/>
  <c r="C50" i="46" s="1"/>
  <c r="B53" i="44"/>
  <c r="C53" i="46" s="1"/>
  <c r="B59" i="44"/>
  <c r="C59" i="46" s="1"/>
  <c r="B46" i="32"/>
  <c r="B55" i="44" s="1"/>
  <c r="C55" i="46" s="1"/>
  <c r="B49" i="32"/>
  <c r="B50" i="36" s="1"/>
  <c r="B58" i="44"/>
  <c r="C58" i="46" s="1"/>
  <c r="B30" i="44"/>
  <c r="C30" i="46" s="1"/>
  <c r="B48" i="44"/>
  <c r="C48" i="46" s="1"/>
  <c r="B3" i="32"/>
  <c r="B4" i="44" s="1"/>
  <c r="C4" i="46" s="1"/>
  <c r="B6" i="32"/>
  <c r="B15" i="44" s="1"/>
  <c r="C15" i="46" s="1"/>
  <c r="C5" i="32"/>
  <c r="C82" i="32" s="1"/>
  <c r="D56" i="32"/>
  <c r="D60" i="32"/>
  <c r="D55" i="32"/>
  <c r="D57" i="32"/>
  <c r="D61" i="32"/>
  <c r="D58" i="32"/>
  <c r="C63" i="32"/>
  <c r="D62" i="32"/>
  <c r="D75" i="32"/>
  <c r="L75" i="32" s="1"/>
  <c r="B43" i="32"/>
  <c r="B52" i="44" s="1"/>
  <c r="C52" i="46" s="1"/>
  <c r="D3" i="44"/>
  <c r="E3" i="44"/>
  <c r="F3" i="44"/>
  <c r="H3" i="44"/>
  <c r="I3" i="44"/>
  <c r="K3" i="44"/>
  <c r="M3" i="44"/>
  <c r="N3" i="44"/>
  <c r="O9" i="44"/>
  <c r="O3" i="44" s="1"/>
  <c r="B7" i="32"/>
  <c r="B16" i="44" s="1"/>
  <c r="C16" i="46" s="1"/>
  <c r="B25" i="32"/>
  <c r="B34" i="44" s="1"/>
  <c r="C34" i="46" s="1"/>
  <c r="B20" i="32"/>
  <c r="B29" i="44" s="1"/>
  <c r="C29" i="46" s="1"/>
  <c r="B38" i="32"/>
  <c r="B47" i="44" s="1"/>
  <c r="C47" i="46" s="1"/>
  <c r="E6" i="44"/>
  <c r="F6" i="44" s="1"/>
  <c r="G6" i="44" s="1"/>
  <c r="H6" i="44" s="1"/>
  <c r="I6" i="44" s="1"/>
  <c r="J6" i="44" s="1"/>
  <c r="K6" i="44" s="1"/>
  <c r="L6" i="44" s="1"/>
  <c r="M6" i="44" s="1"/>
  <c r="N6" i="44" s="1"/>
  <c r="O6" i="44" s="1"/>
  <c r="B5" i="44"/>
  <c r="B47" i="32"/>
  <c r="B56" i="44" s="1"/>
  <c r="D59" i="32"/>
  <c r="D77" i="32"/>
  <c r="L77" i="32" s="1"/>
  <c r="D78" i="32"/>
  <c r="L78" i="32" s="1"/>
  <c r="C4" i="32"/>
  <c r="C5" i="44" s="1"/>
  <c r="B8" i="32"/>
  <c r="B17" i="44" s="1"/>
  <c r="B10" i="32"/>
  <c r="B19" i="44" s="1"/>
  <c r="B12" i="32"/>
  <c r="B21" i="44" s="1"/>
  <c r="B14" i="32"/>
  <c r="B16" i="32"/>
  <c r="B25" i="44" s="1"/>
  <c r="B18" i="32"/>
  <c r="B26" i="32"/>
  <c r="B35" i="44" s="1"/>
  <c r="B28" i="32"/>
  <c r="B30" i="32"/>
  <c r="B39" i="44" s="1"/>
  <c r="B32" i="32"/>
  <c r="B36" i="32"/>
  <c r="B45" i="44" s="1"/>
  <c r="B34" i="32"/>
  <c r="B43" i="44" s="1"/>
  <c r="B45" i="36"/>
  <c r="B51" i="36"/>
  <c r="B3" i="36"/>
  <c r="B10" i="36"/>
  <c r="B12" i="36"/>
  <c r="B14" i="36"/>
  <c r="B16" i="36"/>
  <c r="B18" i="36"/>
  <c r="B20" i="36"/>
  <c r="B22" i="36"/>
  <c r="B23" i="36"/>
  <c r="B24" i="36"/>
  <c r="B25" i="36"/>
  <c r="B28" i="36"/>
  <c r="B30" i="36"/>
  <c r="B32" i="36"/>
  <c r="B34" i="36"/>
  <c r="B36" i="36"/>
  <c r="B38" i="36"/>
  <c r="B40" i="36"/>
  <c r="B42" i="36"/>
  <c r="D4" i="32"/>
  <c r="D5" i="36" s="1"/>
  <c r="E4" i="32"/>
  <c r="E5" i="36" s="1"/>
  <c r="F4" i="32"/>
  <c r="F5" i="36" s="1"/>
  <c r="G4" i="32"/>
  <c r="G5" i="36" s="1"/>
  <c r="B47" i="36"/>
  <c r="B39" i="36"/>
  <c r="E56" i="32"/>
  <c r="E60" i="32"/>
  <c r="E55" i="32"/>
  <c r="E57" i="32"/>
  <c r="E61" i="32"/>
  <c r="E58" i="32"/>
  <c r="E62" i="32"/>
  <c r="E59" i="32"/>
  <c r="F56" i="32"/>
  <c r="F60" i="32"/>
  <c r="F55" i="32"/>
  <c r="F57" i="32"/>
  <c r="F61" i="32"/>
  <c r="F58" i="32"/>
  <c r="F62" i="32"/>
  <c r="F59" i="32"/>
  <c r="B5" i="32"/>
  <c r="B6" i="36" s="1"/>
  <c r="B7" i="36"/>
  <c r="B9" i="36"/>
  <c r="B17" i="36"/>
  <c r="B31" i="36"/>
  <c r="B35" i="36"/>
  <c r="D15" i="31"/>
  <c r="D29" i="31" s="1"/>
  <c r="C34" i="32" s="1"/>
  <c r="C23" i="31"/>
  <c r="C31" i="31"/>
  <c r="B40" i="17"/>
  <c r="B63" i="17"/>
  <c r="B64" i="17"/>
  <c r="B60" i="17"/>
  <c r="B65" i="17"/>
  <c r="B66" i="17"/>
  <c r="B67" i="17"/>
  <c r="B58" i="17"/>
  <c r="B59" i="17"/>
  <c r="B54" i="17"/>
  <c r="B55" i="17"/>
  <c r="B56" i="17"/>
  <c r="B57" i="17"/>
  <c r="B53" i="17"/>
  <c r="B48" i="17"/>
  <c r="B49" i="17"/>
  <c r="B50" i="17"/>
  <c r="B44" i="17"/>
  <c r="B42" i="17"/>
  <c r="B43" i="17"/>
  <c r="B41" i="17"/>
  <c r="B32" i="17"/>
  <c r="B33" i="17"/>
  <c r="B34" i="17"/>
  <c r="B35" i="17"/>
  <c r="B36" i="17"/>
  <c r="B37" i="17"/>
  <c r="B38" i="17"/>
  <c r="B39" i="17"/>
  <c r="B31" i="17"/>
  <c r="B30" i="17"/>
  <c r="B20" i="17"/>
  <c r="B21" i="17"/>
  <c r="B22" i="17"/>
  <c r="B23" i="17"/>
  <c r="B24" i="17"/>
  <c r="B25" i="17"/>
  <c r="B26" i="17"/>
  <c r="B27" i="17"/>
  <c r="B28" i="17"/>
  <c r="B29" i="17"/>
  <c r="B19" i="17"/>
  <c r="B15" i="17"/>
  <c r="B16" i="17"/>
  <c r="B17" i="17"/>
  <c r="B18" i="17"/>
  <c r="B14" i="17"/>
  <c r="B13" i="17"/>
  <c r="B12" i="17"/>
  <c r="B10" i="17"/>
  <c r="B9" i="17"/>
  <c r="B8" i="17"/>
  <c r="B18" i="34"/>
  <c r="B52" i="17" s="1"/>
  <c r="B14" i="34"/>
  <c r="B51" i="17" s="1"/>
  <c r="B10" i="34"/>
  <c r="B47" i="17" s="1"/>
  <c r="B3" i="38"/>
  <c r="J50" i="32"/>
  <c r="B51" i="38" s="1"/>
  <c r="L4" i="32"/>
  <c r="D5" i="38" s="1"/>
  <c r="M4" i="32"/>
  <c r="E5" i="38" s="1"/>
  <c r="N4" i="32"/>
  <c r="F5" i="38" s="1"/>
  <c r="O4" i="32"/>
  <c r="G5" i="38" s="1"/>
  <c r="J9" i="32"/>
  <c r="B10" i="38" s="1"/>
  <c r="J11" i="32"/>
  <c r="B12" i="38" s="1"/>
  <c r="J13" i="32"/>
  <c r="B14" i="38" s="1"/>
  <c r="J15" i="32"/>
  <c r="B16" i="38" s="1"/>
  <c r="J17" i="32"/>
  <c r="B18" i="38" s="1"/>
  <c r="J19" i="32"/>
  <c r="B20" i="38" s="1"/>
  <c r="J22" i="32"/>
  <c r="B23" i="38" s="1"/>
  <c r="J23" i="32"/>
  <c r="B24" i="38" s="1"/>
  <c r="J24" i="32"/>
  <c r="B25" i="38" s="1"/>
  <c r="J27" i="32"/>
  <c r="B28" i="38" s="1"/>
  <c r="J29" i="32"/>
  <c r="B30" i="38" s="1"/>
  <c r="J31" i="32"/>
  <c r="B32" i="38" s="1"/>
  <c r="J33" i="32"/>
  <c r="B34" i="38" s="1"/>
  <c r="J35" i="32"/>
  <c r="B36" i="38" s="1"/>
  <c r="J37" i="32"/>
  <c r="B38" i="38" s="1"/>
  <c r="J41" i="32"/>
  <c r="B42" i="38" s="1"/>
  <c r="J44" i="32"/>
  <c r="B45" i="38" s="1"/>
  <c r="K4" i="32"/>
  <c r="C5" i="38" s="1"/>
  <c r="J49" i="32"/>
  <c r="B50" i="38" s="1"/>
  <c r="J47" i="32"/>
  <c r="B48" i="38" s="1"/>
  <c r="J46" i="32"/>
  <c r="B47" i="38" s="1"/>
  <c r="J21" i="32"/>
  <c r="B22" i="38" s="1"/>
  <c r="J39" i="32"/>
  <c r="B40" i="38" s="1"/>
  <c r="J20" i="32"/>
  <c r="B21" i="38" s="1"/>
  <c r="J7" i="32"/>
  <c r="B8" i="38" s="1"/>
  <c r="K5" i="32"/>
  <c r="K82" i="32" s="1"/>
  <c r="J3" i="32"/>
  <c r="B4" i="38" s="1"/>
  <c r="J5" i="32"/>
  <c r="B6" i="38" s="1"/>
  <c r="J6" i="32"/>
  <c r="B7" i="38" s="1"/>
  <c r="J8" i="32"/>
  <c r="B9" i="38" s="1"/>
  <c r="J10" i="32"/>
  <c r="B11" i="38" s="1"/>
  <c r="J12" i="32"/>
  <c r="B13" i="38" s="1"/>
  <c r="J14" i="32"/>
  <c r="B15" i="38" s="1"/>
  <c r="J16" i="32"/>
  <c r="B17" i="38" s="1"/>
  <c r="J18" i="32"/>
  <c r="B19" i="38" s="1"/>
  <c r="J26" i="32"/>
  <c r="B27" i="38" s="1"/>
  <c r="J28" i="32"/>
  <c r="B29" i="38" s="1"/>
  <c r="J30" i="32"/>
  <c r="B31" i="38" s="1"/>
  <c r="J32" i="32"/>
  <c r="B33" i="38" s="1"/>
  <c r="J36" i="32"/>
  <c r="B37" i="38" s="1"/>
  <c r="J43" i="32"/>
  <c r="B44" i="38" s="1"/>
  <c r="K2" i="32"/>
  <c r="C3" i="38" s="1"/>
  <c r="B3" i="37"/>
  <c r="Q50" i="32"/>
  <c r="B51" i="37" s="1"/>
  <c r="R4" i="32"/>
  <c r="C5" i="37"/>
  <c r="S4" i="32"/>
  <c r="D5" i="37" s="1"/>
  <c r="T4" i="32"/>
  <c r="E5" i="37"/>
  <c r="U4" i="32"/>
  <c r="F5" i="37" s="1"/>
  <c r="V4" i="32"/>
  <c r="G5" i="37"/>
  <c r="Q9" i="32"/>
  <c r="B10" i="37" s="1"/>
  <c r="Q11" i="32"/>
  <c r="B12" i="37"/>
  <c r="Q13" i="32"/>
  <c r="B14" i="37" s="1"/>
  <c r="Q15" i="32"/>
  <c r="B16" i="37"/>
  <c r="Q17" i="32"/>
  <c r="B18" i="37" s="1"/>
  <c r="Q19" i="32"/>
  <c r="B20" i="37"/>
  <c r="Q22" i="32"/>
  <c r="B23" i="37" s="1"/>
  <c r="Q23" i="32"/>
  <c r="B24" i="37"/>
  <c r="Q24" i="32"/>
  <c r="B25" i="37" s="1"/>
  <c r="Q27" i="32"/>
  <c r="B28" i="37"/>
  <c r="Q29" i="32"/>
  <c r="B30" i="37" s="1"/>
  <c r="Q31" i="32"/>
  <c r="B32" i="37"/>
  <c r="Q33" i="32"/>
  <c r="B34" i="37" s="1"/>
  <c r="Q35" i="32"/>
  <c r="B36" i="37"/>
  <c r="Q37" i="32"/>
  <c r="B38" i="37" s="1"/>
  <c r="Q41" i="32"/>
  <c r="B42" i="37"/>
  <c r="Q44" i="32"/>
  <c r="B45" i="37" s="1"/>
  <c r="Q49" i="32"/>
  <c r="B50" i="37"/>
  <c r="Q47" i="32"/>
  <c r="B48" i="37" s="1"/>
  <c r="Q46" i="32"/>
  <c r="B47" i="37"/>
  <c r="Q21" i="32"/>
  <c r="B22" i="37" s="1"/>
  <c r="Q39" i="32"/>
  <c r="B40" i="37"/>
  <c r="Q38" i="32"/>
  <c r="B39" i="37" s="1"/>
  <c r="Q20" i="32"/>
  <c r="B21" i="37" s="1"/>
  <c r="Q7" i="32"/>
  <c r="B8" i="37" s="1"/>
  <c r="S77" i="32"/>
  <c r="R5" i="32"/>
  <c r="R82" i="32" s="1"/>
  <c r="Q3" i="32"/>
  <c r="B4" i="37" s="1"/>
  <c r="Q5" i="32"/>
  <c r="B6" i="37" s="1"/>
  <c r="Q6" i="32"/>
  <c r="B7" i="37" s="1"/>
  <c r="Q8" i="32"/>
  <c r="B9" i="37" s="1"/>
  <c r="Q10" i="32"/>
  <c r="B11" i="37" s="1"/>
  <c r="Q12" i="32"/>
  <c r="B13" i="37" s="1"/>
  <c r="Q14" i="32"/>
  <c r="B15" i="37" s="1"/>
  <c r="Q16" i="32"/>
  <c r="B17" i="37" s="1"/>
  <c r="Q18" i="32"/>
  <c r="B19" i="37" s="1"/>
  <c r="Q26" i="32"/>
  <c r="B27" i="37" s="1"/>
  <c r="Q28" i="32"/>
  <c r="B29" i="37" s="1"/>
  <c r="Q30" i="32"/>
  <c r="B31" i="37" s="1"/>
  <c r="Q32" i="32"/>
  <c r="B33" i="37" s="1"/>
  <c r="Q36" i="32"/>
  <c r="B37" i="37" s="1"/>
  <c r="Q43" i="32"/>
  <c r="B44" i="37" s="1"/>
  <c r="Q34" i="32"/>
  <c r="B35" i="37" s="1"/>
  <c r="R2" i="32"/>
  <c r="C3" i="37" s="1"/>
  <c r="C12" i="34"/>
  <c r="Q91" i="32"/>
  <c r="Q90" i="32"/>
  <c r="Q89" i="32"/>
  <c r="J90" i="32"/>
  <c r="J91" i="32"/>
  <c r="J89" i="32"/>
  <c r="S75" i="32"/>
  <c r="B78" i="32"/>
  <c r="Q78" i="32" s="1"/>
  <c r="B77" i="32"/>
  <c r="Q77" i="32" s="1"/>
  <c r="B75" i="32"/>
  <c r="Q75" i="32" s="1"/>
  <c r="Q64" i="32"/>
  <c r="Q86" i="32"/>
  <c r="U81" i="32"/>
  <c r="T81" i="32"/>
  <c r="R81" i="32"/>
  <c r="Q71" i="32"/>
  <c r="Q70" i="32"/>
  <c r="Q69" i="32"/>
  <c r="Q67" i="32"/>
  <c r="Q66" i="32"/>
  <c r="B63" i="32"/>
  <c r="Q63" i="32" s="1"/>
  <c r="B62" i="32"/>
  <c r="Q62" i="32" s="1"/>
  <c r="B61" i="32"/>
  <c r="Q61" i="32" s="1"/>
  <c r="B60" i="32"/>
  <c r="Q60" i="32" s="1"/>
  <c r="B59" i="32"/>
  <c r="Q59" i="32" s="1"/>
  <c r="B58" i="32"/>
  <c r="Q58" i="32" s="1"/>
  <c r="B57" i="32"/>
  <c r="Q57" i="32" s="1"/>
  <c r="B56" i="32"/>
  <c r="Q56" i="32" s="1"/>
  <c r="B55" i="32"/>
  <c r="Q55" i="32" s="1"/>
  <c r="B54" i="32"/>
  <c r="Q54" i="32" s="1"/>
  <c r="J75" i="32"/>
  <c r="J64" i="32"/>
  <c r="J83" i="32"/>
  <c r="J82" i="32"/>
  <c r="N81" i="32"/>
  <c r="M81" i="32"/>
  <c r="L81" i="32"/>
  <c r="K81" i="32"/>
  <c r="J69" i="32"/>
  <c r="J67" i="32"/>
  <c r="J65" i="32"/>
  <c r="B71" i="32"/>
  <c r="B70" i="32"/>
  <c r="B69" i="32"/>
  <c r="B68" i="32"/>
  <c r="B67" i="32"/>
  <c r="B66" i="32"/>
  <c r="B65" i="32"/>
  <c r="B86" i="32"/>
  <c r="B84" i="32"/>
  <c r="B83" i="32"/>
  <c r="D81" i="32"/>
  <c r="E81" i="32"/>
  <c r="F81" i="32"/>
  <c r="C81" i="32"/>
  <c r="B82" i="32"/>
  <c r="C65" i="32"/>
  <c r="C55" i="51" l="1"/>
  <c r="C56" i="51" s="1"/>
  <c r="Q25" i="32"/>
  <c r="B26" i="37" s="1"/>
  <c r="D18" i="31"/>
  <c r="C10" i="32" s="1"/>
  <c r="R10" i="32" s="1"/>
  <c r="C11" i="37" s="1"/>
  <c r="B27" i="36"/>
  <c r="J62" i="32"/>
  <c r="Q68" i="32"/>
  <c r="Q82" i="32"/>
  <c r="J71" i="32"/>
  <c r="Q65" i="32"/>
  <c r="S81" i="32"/>
  <c r="Q84" i="32"/>
  <c r="S78" i="32"/>
  <c r="R89" i="32" s="1"/>
  <c r="R47" i="32" s="1"/>
  <c r="C48" i="37" s="1"/>
  <c r="B37" i="36"/>
  <c r="B13" i="36"/>
  <c r="B26" i="36"/>
  <c r="L3" i="44"/>
  <c r="G3" i="44"/>
  <c r="M22" i="46"/>
  <c r="E22" i="46"/>
  <c r="I24" i="46"/>
  <c r="D42" i="46"/>
  <c r="M46" i="46"/>
  <c r="E46" i="46"/>
  <c r="P33" i="46"/>
  <c r="L33" i="46"/>
  <c r="H33" i="46"/>
  <c r="M31" i="46"/>
  <c r="M32" i="46" s="1"/>
  <c r="I31" i="46"/>
  <c r="I32" i="46" s="1"/>
  <c r="E31" i="46"/>
  <c r="E32" i="46" s="1"/>
  <c r="K65" i="32"/>
  <c r="K63" i="32"/>
  <c r="C11" i="34"/>
  <c r="C6" i="38"/>
  <c r="C8" i="44"/>
  <c r="C12" i="44" s="1"/>
  <c r="R63" i="32"/>
  <c r="D18" i="46"/>
  <c r="D20" i="46"/>
  <c r="D24" i="46"/>
  <c r="D28" i="46"/>
  <c r="D36" i="46"/>
  <c r="D40" i="46"/>
  <c r="D52" i="46"/>
  <c r="D22" i="31"/>
  <c r="C18" i="32" s="1"/>
  <c r="C19" i="32" s="1"/>
  <c r="D27" i="31"/>
  <c r="C30" i="32" s="1"/>
  <c r="K30" i="32" s="1"/>
  <c r="D20" i="31"/>
  <c r="C14" i="32" s="1"/>
  <c r="C15" i="32" s="1"/>
  <c r="D30" i="31"/>
  <c r="C36" i="32" s="1"/>
  <c r="C45" i="44" s="1"/>
  <c r="D23" i="31"/>
  <c r="C37" i="32"/>
  <c r="C46" i="44" s="1"/>
  <c r="C11" i="36"/>
  <c r="C19" i="44"/>
  <c r="C31" i="36"/>
  <c r="C35" i="32"/>
  <c r="C44" i="44" s="1"/>
  <c r="C43" i="44"/>
  <c r="C35" i="36"/>
  <c r="K34" i="32"/>
  <c r="R34" i="32"/>
  <c r="D17" i="31"/>
  <c r="C8" i="32" s="1"/>
  <c r="D21" i="31"/>
  <c r="C16" i="32" s="1"/>
  <c r="D19" i="31"/>
  <c r="C12" i="32" s="1"/>
  <c r="D25" i="31"/>
  <c r="C26" i="32" s="1"/>
  <c r="D28" i="31"/>
  <c r="C32" i="32" s="1"/>
  <c r="D26" i="31"/>
  <c r="C28" i="32" s="1"/>
  <c r="C29" i="36" s="1"/>
  <c r="D34" i="32"/>
  <c r="D35" i="36" s="1"/>
  <c r="Q12" i="46"/>
  <c r="Q38" i="46" s="1"/>
  <c r="D48" i="46"/>
  <c r="L36" i="46"/>
  <c r="J42" i="46"/>
  <c r="F44" i="46"/>
  <c r="Q9" i="46"/>
  <c r="I9" i="46"/>
  <c r="N18" i="46"/>
  <c r="F18" i="46"/>
  <c r="Q22" i="46"/>
  <c r="P36" i="46"/>
  <c r="H36" i="46"/>
  <c r="N42" i="46"/>
  <c r="F42" i="46"/>
  <c r="J44" i="46"/>
  <c r="P46" i="46"/>
  <c r="N46" i="46"/>
  <c r="L46" i="46"/>
  <c r="H46" i="46"/>
  <c r="F46" i="46"/>
  <c r="N48" i="46"/>
  <c r="J48" i="46"/>
  <c r="O9" i="46"/>
  <c r="K9" i="46"/>
  <c r="O13" i="46"/>
  <c r="P18" i="46"/>
  <c r="L18" i="46"/>
  <c r="H18" i="46"/>
  <c r="P20" i="46"/>
  <c r="N20" i="46"/>
  <c r="L20" i="46"/>
  <c r="J20" i="46"/>
  <c r="H20" i="46"/>
  <c r="F20" i="46"/>
  <c r="P22" i="46"/>
  <c r="N22" i="46"/>
  <c r="L22" i="46"/>
  <c r="J22" i="46"/>
  <c r="H22" i="46"/>
  <c r="F22" i="46"/>
  <c r="P24" i="46"/>
  <c r="N24" i="46"/>
  <c r="L24" i="46"/>
  <c r="J24" i="46"/>
  <c r="H24" i="46"/>
  <c r="F24" i="46"/>
  <c r="P26" i="46"/>
  <c r="N26" i="46"/>
  <c r="L26" i="46"/>
  <c r="J26" i="46"/>
  <c r="H26" i="46"/>
  <c r="F26" i="46"/>
  <c r="P28" i="46"/>
  <c r="N28" i="46"/>
  <c r="L28" i="46"/>
  <c r="J28" i="46"/>
  <c r="H28" i="46"/>
  <c r="F28" i="46"/>
  <c r="P31" i="46"/>
  <c r="P32" i="46" s="1"/>
  <c r="N31" i="46"/>
  <c r="N32" i="46" s="1"/>
  <c r="L31" i="46"/>
  <c r="L32" i="46" s="1"/>
  <c r="J31" i="46"/>
  <c r="J32" i="46" s="1"/>
  <c r="H31" i="46"/>
  <c r="H32" i="46" s="1"/>
  <c r="F31" i="46"/>
  <c r="F32" i="46" s="1"/>
  <c r="N36" i="46"/>
  <c r="J36" i="46"/>
  <c r="F36" i="46"/>
  <c r="P38" i="46"/>
  <c r="N38" i="46"/>
  <c r="L38" i="46"/>
  <c r="J38" i="46"/>
  <c r="H38" i="46"/>
  <c r="F38" i="46"/>
  <c r="P40" i="46"/>
  <c r="L40" i="46"/>
  <c r="J40" i="46"/>
  <c r="H40" i="46"/>
  <c r="P42" i="46"/>
  <c r="L42" i="46"/>
  <c r="H42" i="46"/>
  <c r="L48" i="46"/>
  <c r="O50" i="46"/>
  <c r="O52" i="46" s="1"/>
  <c r="M50" i="46"/>
  <c r="M52" i="46" s="1"/>
  <c r="M58" i="46" s="1"/>
  <c r="M59" i="46" s="1"/>
  <c r="K50" i="46"/>
  <c r="K52" i="46" s="1"/>
  <c r="K53" i="46" s="1"/>
  <c r="I50" i="46"/>
  <c r="G50" i="46"/>
  <c r="G52" i="46" s="1"/>
  <c r="Q42" i="46"/>
  <c r="E50" i="46"/>
  <c r="E52" i="46" s="1"/>
  <c r="P50" i="46"/>
  <c r="P52" i="46" s="1"/>
  <c r="P53" i="46" s="1"/>
  <c r="N50" i="46"/>
  <c r="N52" i="46" s="1"/>
  <c r="L50" i="46"/>
  <c r="L52" i="46" s="1"/>
  <c r="L53" i="46" s="1"/>
  <c r="J50" i="46"/>
  <c r="J52" i="46" s="1"/>
  <c r="J53" i="46" s="1"/>
  <c r="H50" i="46"/>
  <c r="H52" i="46" s="1"/>
  <c r="F50" i="46"/>
  <c r="F52" i="46" s="1"/>
  <c r="F53" i="46" s="1"/>
  <c r="Q13" i="46"/>
  <c r="E18" i="46"/>
  <c r="O18" i="46"/>
  <c r="M18" i="46"/>
  <c r="K18" i="46"/>
  <c r="I18" i="46"/>
  <c r="G18" i="46"/>
  <c r="O36" i="46"/>
  <c r="M36" i="46"/>
  <c r="K36" i="46"/>
  <c r="I36" i="46"/>
  <c r="G36" i="46"/>
  <c r="E36" i="46"/>
  <c r="O42" i="46"/>
  <c r="M42" i="46"/>
  <c r="K42" i="46"/>
  <c r="I42" i="46"/>
  <c r="G42" i="46"/>
  <c r="E42" i="46"/>
  <c r="M48" i="46"/>
  <c r="K48" i="46"/>
  <c r="K58" i="46"/>
  <c r="K59" i="46" s="1"/>
  <c r="P48" i="46"/>
  <c r="O48" i="46"/>
  <c r="I52" i="46"/>
  <c r="I48" i="46"/>
  <c r="H48" i="46"/>
  <c r="G48" i="46"/>
  <c r="E48" i="46"/>
  <c r="B4" i="36"/>
  <c r="P43" i="44"/>
  <c r="J66" i="32"/>
  <c r="J70" i="32"/>
  <c r="J86" i="32"/>
  <c r="J58" i="32"/>
  <c r="J77" i="32"/>
  <c r="R65" i="32"/>
  <c r="Q83" i="32"/>
  <c r="C13" i="34"/>
  <c r="R36" i="32"/>
  <c r="J34" i="32"/>
  <c r="B35" i="38" s="1"/>
  <c r="K36" i="32"/>
  <c r="K10" i="32"/>
  <c r="J25" i="32"/>
  <c r="B26" i="38" s="1"/>
  <c r="J38" i="32"/>
  <c r="C37" i="36"/>
  <c r="B44" i="36"/>
  <c r="B8" i="36"/>
  <c r="B21" i="36"/>
  <c r="C89" i="32"/>
  <c r="K89" i="32"/>
  <c r="K47" i="32" s="1"/>
  <c r="C48" i="38" s="1"/>
  <c r="D5" i="32"/>
  <c r="D6" i="36" s="1"/>
  <c r="D12" i="34"/>
  <c r="J54" i="32"/>
  <c r="J60" i="32"/>
  <c r="J56" i="32"/>
  <c r="S62" i="32"/>
  <c r="S55" i="32"/>
  <c r="S59" i="32"/>
  <c r="L56" i="32"/>
  <c r="L55" i="32"/>
  <c r="K35" i="32"/>
  <c r="C36" i="38" s="1"/>
  <c r="C35" i="38"/>
  <c r="J55" i="32"/>
  <c r="J61" i="32"/>
  <c r="J59" i="32"/>
  <c r="J57" i="32"/>
  <c r="J63" i="32"/>
  <c r="J78" i="32"/>
  <c r="C6" i="37"/>
  <c r="C32" i="31"/>
  <c r="D31" i="31"/>
  <c r="U59" i="32"/>
  <c r="N59" i="32"/>
  <c r="U58" i="32"/>
  <c r="N58" i="32"/>
  <c r="T59" i="32"/>
  <c r="M59" i="32"/>
  <c r="E34" i="32"/>
  <c r="F34" i="32"/>
  <c r="T58" i="32"/>
  <c r="M58" i="32"/>
  <c r="C36" i="36"/>
  <c r="B41" i="44"/>
  <c r="B33" i="36"/>
  <c r="B37" i="44"/>
  <c r="B29" i="36"/>
  <c r="B27" i="44"/>
  <c r="B19" i="36"/>
  <c r="B23" i="44"/>
  <c r="B15" i="36"/>
  <c r="U57" i="32"/>
  <c r="U55" i="32"/>
  <c r="U56" i="32"/>
  <c r="U61" i="32"/>
  <c r="N61" i="32"/>
  <c r="U60" i="32"/>
  <c r="N60" i="32"/>
  <c r="T61" i="32"/>
  <c r="M61" i="32"/>
  <c r="T60" i="32"/>
  <c r="M60" i="32"/>
  <c r="D58" i="46"/>
  <c r="D59" i="46" s="1"/>
  <c r="D53" i="46"/>
  <c r="U62" i="32"/>
  <c r="L61" i="32"/>
  <c r="S60" i="32"/>
  <c r="T62" i="32"/>
  <c r="M62" i="32"/>
  <c r="T57" i="32"/>
  <c r="M57" i="32"/>
  <c r="T55" i="32"/>
  <c r="M55" i="32"/>
  <c r="T56" i="32"/>
  <c r="M56" i="32"/>
  <c r="Q29" i="46"/>
  <c r="R19" i="46"/>
  <c r="R20" i="46" s="1"/>
  <c r="Q44" i="46"/>
  <c r="Q40" i="46"/>
  <c r="Q36" i="46"/>
  <c r="Q18" i="46"/>
  <c r="F13" i="46"/>
  <c r="H13" i="46"/>
  <c r="J13" i="46"/>
  <c r="L13" i="46"/>
  <c r="N13" i="46"/>
  <c r="P13" i="46"/>
  <c r="E13" i="46"/>
  <c r="F9" i="46"/>
  <c r="H9" i="46"/>
  <c r="J9" i="46"/>
  <c r="L9" i="46"/>
  <c r="N9" i="46"/>
  <c r="P9" i="46"/>
  <c r="E9" i="46"/>
  <c r="C13" i="36"/>
  <c r="C6" i="36"/>
  <c r="B11" i="36"/>
  <c r="C5" i="36"/>
  <c r="B48" i="36"/>
  <c r="C21" i="44"/>
  <c r="C20" i="32"/>
  <c r="C17" i="32"/>
  <c r="D16" i="32" s="1"/>
  <c r="D74" i="32"/>
  <c r="D76" i="32" s="1"/>
  <c r="C64" i="32" s="1"/>
  <c r="S58" i="32"/>
  <c r="C11" i="32"/>
  <c r="S57" i="32"/>
  <c r="S56" i="32"/>
  <c r="Q47" i="46"/>
  <c r="L58" i="32"/>
  <c r="N57" i="32"/>
  <c r="N55" i="32"/>
  <c r="D8" i="44"/>
  <c r="P8" i="44"/>
  <c r="E8" i="44"/>
  <c r="F8" i="44"/>
  <c r="G8" i="44"/>
  <c r="H8" i="44"/>
  <c r="I8" i="44"/>
  <c r="J8" i="44"/>
  <c r="K8" i="44"/>
  <c r="L8" i="44"/>
  <c r="M8" i="44"/>
  <c r="N8" i="44"/>
  <c r="O8" i="44"/>
  <c r="D33" i="46"/>
  <c r="D31" i="46"/>
  <c r="D32" i="46" s="1"/>
  <c r="D30" i="46"/>
  <c r="L59" i="32"/>
  <c r="L62" i="32"/>
  <c r="S61" i="32"/>
  <c r="L60" i="32"/>
  <c r="N62" i="32"/>
  <c r="N56" i="32"/>
  <c r="L57" i="32"/>
  <c r="B55" i="51" l="1"/>
  <c r="S5" i="32"/>
  <c r="C39" i="44"/>
  <c r="I13" i="46"/>
  <c r="R12" i="46"/>
  <c r="R13" i="46" s="1"/>
  <c r="R30" i="32"/>
  <c r="C31" i="32"/>
  <c r="C27" i="44"/>
  <c r="D65" i="32"/>
  <c r="C38" i="36"/>
  <c r="M13" i="46"/>
  <c r="G13" i="46"/>
  <c r="Q26" i="46"/>
  <c r="P3" i="44"/>
  <c r="K13" i="46"/>
  <c r="C15" i="36"/>
  <c r="R11" i="32"/>
  <c r="C12" i="37" s="1"/>
  <c r="C19" i="36"/>
  <c r="R14" i="32"/>
  <c r="C38" i="32"/>
  <c r="C68" i="32" s="1"/>
  <c r="R18" i="32"/>
  <c r="K18" i="32"/>
  <c r="K19" i="32" s="1"/>
  <c r="C20" i="38" s="1"/>
  <c r="C23" i="44"/>
  <c r="C37" i="44"/>
  <c r="K14" i="32"/>
  <c r="C33" i="36"/>
  <c r="K32" i="32"/>
  <c r="C33" i="32"/>
  <c r="C41" i="44"/>
  <c r="R32" i="32"/>
  <c r="C13" i="32"/>
  <c r="K12" i="32"/>
  <c r="R12" i="32"/>
  <c r="C9" i="32"/>
  <c r="S8" i="32" s="1"/>
  <c r="C17" i="44"/>
  <c r="K8" i="32"/>
  <c r="C9" i="36"/>
  <c r="R8" i="32"/>
  <c r="C31" i="37"/>
  <c r="R31" i="32"/>
  <c r="C32" i="37" s="1"/>
  <c r="C19" i="37"/>
  <c r="R19" i="32"/>
  <c r="C20" i="37" s="1"/>
  <c r="C19" i="38"/>
  <c r="C28" i="44"/>
  <c r="C20" i="36"/>
  <c r="K15" i="32"/>
  <c r="C16" i="38" s="1"/>
  <c r="C15" i="38"/>
  <c r="C16" i="36"/>
  <c r="C24" i="44"/>
  <c r="C29" i="32"/>
  <c r="K28" i="32"/>
  <c r="R28" i="32"/>
  <c r="C27" i="36"/>
  <c r="C27" i="32"/>
  <c r="C35" i="44"/>
  <c r="K26" i="32"/>
  <c r="R26" i="32"/>
  <c r="R38" i="32" s="1"/>
  <c r="R16" i="32"/>
  <c r="C25" i="44"/>
  <c r="C17" i="36"/>
  <c r="K16" i="32"/>
  <c r="C35" i="37"/>
  <c r="R35" i="32"/>
  <c r="C36" i="37" s="1"/>
  <c r="C31" i="38"/>
  <c r="K31" i="32"/>
  <c r="C32" i="38" s="1"/>
  <c r="C15" i="37"/>
  <c r="R15" i="32"/>
  <c r="C16" i="37" s="1"/>
  <c r="Q28" i="46"/>
  <c r="Q24" i="46"/>
  <c r="Q20" i="46"/>
  <c r="Q46" i="46"/>
  <c r="L58" i="46"/>
  <c r="L59" i="46" s="1"/>
  <c r="M53" i="46"/>
  <c r="H53" i="46"/>
  <c r="H58" i="46"/>
  <c r="H59" i="46" s="1"/>
  <c r="N53" i="46"/>
  <c r="N58" i="46"/>
  <c r="N59" i="46" s="1"/>
  <c r="F58" i="46"/>
  <c r="F59" i="46" s="1"/>
  <c r="J58" i="46"/>
  <c r="J59" i="46" s="1"/>
  <c r="E58" i="46"/>
  <c r="E59" i="46" s="1"/>
  <c r="E53" i="46"/>
  <c r="O58" i="46"/>
  <c r="O59" i="46" s="1"/>
  <c r="O53" i="46"/>
  <c r="G58" i="46"/>
  <c r="G59" i="46" s="1"/>
  <c r="G53" i="46"/>
  <c r="I58" i="46"/>
  <c r="I59" i="46" s="1"/>
  <c r="I53" i="46"/>
  <c r="P58" i="46"/>
  <c r="P59" i="46" s="1"/>
  <c r="D26" i="32"/>
  <c r="D27" i="36" s="1"/>
  <c r="D14" i="32"/>
  <c r="D18" i="32"/>
  <c r="P27" i="44" s="1"/>
  <c r="Q27" i="44" s="1"/>
  <c r="Q28" i="44" s="1"/>
  <c r="P12" i="44"/>
  <c r="D36" i="32"/>
  <c r="P45" i="44" s="1"/>
  <c r="D82" i="32"/>
  <c r="E5" i="32"/>
  <c r="E14" i="32" s="1"/>
  <c r="B39" i="38"/>
  <c r="J68" i="32"/>
  <c r="J84" i="32"/>
  <c r="K11" i="32"/>
  <c r="C12" i="38" s="1"/>
  <c r="C11" i="38"/>
  <c r="C37" i="37"/>
  <c r="R37" i="32"/>
  <c r="C38" i="37" s="1"/>
  <c r="D43" i="44"/>
  <c r="N43" i="44"/>
  <c r="L43" i="44"/>
  <c r="J43" i="44"/>
  <c r="H43" i="44"/>
  <c r="F43" i="44"/>
  <c r="O43" i="44"/>
  <c r="M43" i="44"/>
  <c r="K43" i="44"/>
  <c r="I43" i="44"/>
  <c r="G43" i="44"/>
  <c r="E43" i="44"/>
  <c r="Q43" i="44"/>
  <c r="Q44" i="44" s="1"/>
  <c r="D89" i="32"/>
  <c r="D47" i="32" s="1"/>
  <c r="C47" i="32"/>
  <c r="C37" i="38"/>
  <c r="K37" i="32"/>
  <c r="C38" i="38" s="1"/>
  <c r="D35" i="32"/>
  <c r="D28" i="32"/>
  <c r="P37" i="44" s="1"/>
  <c r="D29" i="32"/>
  <c r="E65" i="32"/>
  <c r="T5" i="32"/>
  <c r="S14" i="32"/>
  <c r="S16" i="32"/>
  <c r="S18" i="32"/>
  <c r="S36" i="32"/>
  <c r="S28" i="32"/>
  <c r="S26" i="32"/>
  <c r="S82" i="32"/>
  <c r="S65" i="32"/>
  <c r="D6" i="37"/>
  <c r="S89" i="32"/>
  <c r="D13" i="34"/>
  <c r="M34" i="32"/>
  <c r="N34" i="32"/>
  <c r="L34" i="32"/>
  <c r="P35" i="44"/>
  <c r="C12" i="36"/>
  <c r="C20" i="44"/>
  <c r="D64" i="32"/>
  <c r="R64" i="32"/>
  <c r="S64" i="32" s="1"/>
  <c r="T64" i="32" s="1"/>
  <c r="U64" i="32" s="1"/>
  <c r="C26" i="44"/>
  <c r="C18" i="36"/>
  <c r="C21" i="32"/>
  <c r="C29" i="44"/>
  <c r="C21" i="36"/>
  <c r="C66" i="32"/>
  <c r="C83" i="32"/>
  <c r="R29" i="46"/>
  <c r="Q33" i="46"/>
  <c r="Q31" i="46"/>
  <c r="F35" i="36"/>
  <c r="C24" i="32"/>
  <c r="C22" i="32"/>
  <c r="L5" i="32"/>
  <c r="P25" i="44"/>
  <c r="D17" i="32"/>
  <c r="D17" i="36"/>
  <c r="Q48" i="46"/>
  <c r="Q50" i="46"/>
  <c r="R47" i="46"/>
  <c r="R48" i="46" s="1"/>
  <c r="P23" i="44"/>
  <c r="Q23" i="44" s="1"/>
  <c r="Q24" i="44" s="1"/>
  <c r="D15" i="36"/>
  <c r="D15" i="32"/>
  <c r="P10" i="44"/>
  <c r="P13" i="44"/>
  <c r="Q12" i="44"/>
  <c r="Q13" i="44" s="1"/>
  <c r="D37" i="32"/>
  <c r="E35" i="36"/>
  <c r="G34" i="32"/>
  <c r="C33" i="31"/>
  <c r="D33" i="31" s="1"/>
  <c r="D32" i="31"/>
  <c r="T34" i="32"/>
  <c r="U34" i="32"/>
  <c r="S34" i="32"/>
  <c r="B11" i="52" l="1"/>
  <c r="C20" i="52"/>
  <c r="B12" i="52"/>
  <c r="B14" i="52"/>
  <c r="B50" i="52"/>
  <c r="E16" i="32"/>
  <c r="E12" i="34"/>
  <c r="F5" i="32"/>
  <c r="C84" i="32"/>
  <c r="E35" i="32"/>
  <c r="E36" i="36" s="1"/>
  <c r="E26" i="32"/>
  <c r="E18" i="32"/>
  <c r="F11" i="44"/>
  <c r="F10" i="44" s="1"/>
  <c r="F12" i="44" s="1"/>
  <c r="I11" i="44"/>
  <c r="K11" i="44"/>
  <c r="E11" i="44"/>
  <c r="M11" i="44"/>
  <c r="M10" i="44" s="1"/>
  <c r="M12" i="44" s="1"/>
  <c r="O11" i="44"/>
  <c r="L11" i="44"/>
  <c r="J11" i="44"/>
  <c r="J10" i="44" s="1"/>
  <c r="J12" i="44" s="1"/>
  <c r="H11" i="44"/>
  <c r="H10" i="44" s="1"/>
  <c r="H12" i="44" s="1"/>
  <c r="N11" i="44"/>
  <c r="D11" i="44"/>
  <c r="C40" i="44"/>
  <c r="C32" i="36"/>
  <c r="C39" i="32"/>
  <c r="D19" i="36"/>
  <c r="G11" i="44"/>
  <c r="D37" i="36"/>
  <c r="Q25" i="44"/>
  <c r="Q26" i="44" s="1"/>
  <c r="C41" i="32"/>
  <c r="C43" i="32" s="1"/>
  <c r="D27" i="32"/>
  <c r="C40" i="36"/>
  <c r="C47" i="44"/>
  <c r="C39" i="36"/>
  <c r="K20" i="32"/>
  <c r="K22" i="32" s="1"/>
  <c r="D19" i="32"/>
  <c r="D20" i="36" s="1"/>
  <c r="C17" i="38"/>
  <c r="K17" i="32"/>
  <c r="C18" i="38" s="1"/>
  <c r="R27" i="32"/>
  <c r="C28" i="37" s="1"/>
  <c r="C27" i="37"/>
  <c r="K29" i="32"/>
  <c r="C30" i="38" s="1"/>
  <c r="C29" i="38"/>
  <c r="C9" i="37"/>
  <c r="R20" i="32"/>
  <c r="R41" i="32" s="1"/>
  <c r="R9" i="32"/>
  <c r="C10" i="37" s="1"/>
  <c r="C9" i="38"/>
  <c r="K9" i="32"/>
  <c r="C10" i="38" s="1"/>
  <c r="C18" i="44"/>
  <c r="D8" i="32"/>
  <c r="C10" i="36"/>
  <c r="C13" i="38"/>
  <c r="L74" i="32"/>
  <c r="L76" i="32" s="1"/>
  <c r="K64" i="32" s="1"/>
  <c r="L64" i="32" s="1"/>
  <c r="M64" i="32" s="1"/>
  <c r="N64" i="32" s="1"/>
  <c r="K13" i="32"/>
  <c r="C14" i="38" s="1"/>
  <c r="S74" i="32"/>
  <c r="S76" i="32" s="1"/>
  <c r="C33" i="37"/>
  <c r="R33" i="32"/>
  <c r="C34" i="37" s="1"/>
  <c r="C42" i="44"/>
  <c r="C34" i="36"/>
  <c r="C17" i="37"/>
  <c r="R17" i="32"/>
  <c r="C18" i="37" s="1"/>
  <c r="K27" i="32"/>
  <c r="C28" i="38" s="1"/>
  <c r="C27" i="38"/>
  <c r="K38" i="32"/>
  <c r="C36" i="44"/>
  <c r="C28" i="36"/>
  <c r="C29" i="37"/>
  <c r="R29" i="32"/>
  <c r="C30" i="37" s="1"/>
  <c r="C30" i="36"/>
  <c r="C38" i="44"/>
  <c r="C13" i="37"/>
  <c r="R13" i="32"/>
  <c r="C14" i="37" s="1"/>
  <c r="C22" i="44"/>
  <c r="C14" i="36"/>
  <c r="C33" i="38"/>
  <c r="K33" i="32"/>
  <c r="C34" i="38" s="1"/>
  <c r="E28" i="32"/>
  <c r="E82" i="32"/>
  <c r="E8" i="32"/>
  <c r="E36" i="32"/>
  <c r="E6" i="36"/>
  <c r="E89" i="32"/>
  <c r="E47" i="32" s="1"/>
  <c r="E48" i="36" s="1"/>
  <c r="C48" i="36"/>
  <c r="C56" i="44"/>
  <c r="R39" i="32"/>
  <c r="C39" i="37"/>
  <c r="R84" i="32"/>
  <c r="R68" i="32"/>
  <c r="K21" i="32"/>
  <c r="K83" i="32"/>
  <c r="K66" i="32"/>
  <c r="K24" i="32"/>
  <c r="C25" i="38" s="1"/>
  <c r="P44" i="44"/>
  <c r="D36" i="36"/>
  <c r="P56" i="44"/>
  <c r="D48" i="36"/>
  <c r="D29" i="36"/>
  <c r="E27" i="36"/>
  <c r="E27" i="32"/>
  <c r="E28" i="36" s="1"/>
  <c r="E19" i="36"/>
  <c r="E19" i="32"/>
  <c r="E20" i="36" s="1"/>
  <c r="D37" i="44"/>
  <c r="O37" i="44"/>
  <c r="N37" i="44"/>
  <c r="M37" i="44"/>
  <c r="L37" i="44"/>
  <c r="K37" i="44"/>
  <c r="J37" i="44"/>
  <c r="J38" i="44" s="1"/>
  <c r="I37" i="44"/>
  <c r="H37" i="44"/>
  <c r="G37" i="44"/>
  <c r="F37" i="44"/>
  <c r="E37" i="44"/>
  <c r="Q37" i="44"/>
  <c r="Q38" i="44" s="1"/>
  <c r="E15" i="36"/>
  <c r="E15" i="32"/>
  <c r="E16" i="36" s="1"/>
  <c r="F18" i="32"/>
  <c r="F14" i="32"/>
  <c r="F26" i="32"/>
  <c r="F89" i="32"/>
  <c r="F12" i="34"/>
  <c r="F65" i="32"/>
  <c r="G5" i="32"/>
  <c r="F8" i="32"/>
  <c r="F36" i="32"/>
  <c r="F6" i="36"/>
  <c r="F28" i="32"/>
  <c r="F82" i="32"/>
  <c r="G82" i="32" s="1"/>
  <c r="D30" i="36"/>
  <c r="P38" i="44"/>
  <c r="J13" i="44"/>
  <c r="J44" i="44"/>
  <c r="E17" i="32"/>
  <c r="E18" i="36" s="1"/>
  <c r="E17" i="36"/>
  <c r="S35" i="32"/>
  <c r="D36" i="37" s="1"/>
  <c r="V34" i="32"/>
  <c r="D35" i="37"/>
  <c r="E35" i="37"/>
  <c r="T35" i="32"/>
  <c r="E36" i="37" s="1"/>
  <c r="O10" i="44"/>
  <c r="O12" i="44" s="1"/>
  <c r="K10" i="44"/>
  <c r="K12" i="44" s="1"/>
  <c r="G10" i="44"/>
  <c r="G12" i="44" s="1"/>
  <c r="I10" i="44"/>
  <c r="I12" i="44" s="1"/>
  <c r="E10" i="44"/>
  <c r="E12" i="44" s="1"/>
  <c r="R50" i="46"/>
  <c r="Q52" i="46"/>
  <c r="M5" i="32"/>
  <c r="M35" i="32" s="1"/>
  <c r="E36" i="38" s="1"/>
  <c r="L8" i="32"/>
  <c r="L14" i="32"/>
  <c r="L16" i="32"/>
  <c r="L18" i="32"/>
  <c r="L36" i="32"/>
  <c r="L28" i="32"/>
  <c r="L26" i="32"/>
  <c r="L32" i="32"/>
  <c r="L30" i="32" s="1"/>
  <c r="L89" i="32"/>
  <c r="D11" i="34"/>
  <c r="L65" i="32"/>
  <c r="D6" i="38"/>
  <c r="L82" i="32"/>
  <c r="C23" i="32"/>
  <c r="C31" i="44"/>
  <c r="C23" i="36"/>
  <c r="Q32" i="46"/>
  <c r="R31" i="46"/>
  <c r="R32" i="46" s="1"/>
  <c r="R33" i="46"/>
  <c r="R30" i="46"/>
  <c r="C50" i="44"/>
  <c r="E64" i="32"/>
  <c r="D32" i="32"/>
  <c r="F35" i="38"/>
  <c r="S27" i="32"/>
  <c r="D28" i="37" s="1"/>
  <c r="D27" i="37"/>
  <c r="S37" i="32"/>
  <c r="D38" i="37" s="1"/>
  <c r="D37" i="37"/>
  <c r="S17" i="32"/>
  <c r="D18" i="37" s="1"/>
  <c r="D17" i="37"/>
  <c r="S9" i="32"/>
  <c r="D10" i="37" s="1"/>
  <c r="D9" i="37"/>
  <c r="U5" i="32"/>
  <c r="U35" i="32" s="1"/>
  <c r="F36" i="37" s="1"/>
  <c r="T18" i="32"/>
  <c r="T16" i="32"/>
  <c r="T14" i="32"/>
  <c r="T8" i="32"/>
  <c r="T28" i="32"/>
  <c r="T36" i="32"/>
  <c r="T26" i="32"/>
  <c r="T89" i="32"/>
  <c r="T47" i="32" s="1"/>
  <c r="E48" i="37" s="1"/>
  <c r="E13" i="34"/>
  <c r="E6" i="37"/>
  <c r="T32" i="32"/>
  <c r="T30" i="32" s="1"/>
  <c r="T82" i="32"/>
  <c r="T65" i="32"/>
  <c r="F35" i="37"/>
  <c r="G35" i="36"/>
  <c r="G35" i="32"/>
  <c r="G36" i="36" s="1"/>
  <c r="P46" i="44"/>
  <c r="D38" i="36"/>
  <c r="Q45" i="44"/>
  <c r="Q46" i="44" s="1"/>
  <c r="O45" i="44"/>
  <c r="O46" i="44" s="1"/>
  <c r="M45" i="44"/>
  <c r="K45" i="44"/>
  <c r="I45" i="44"/>
  <c r="I46" i="44" s="1"/>
  <c r="G45" i="44"/>
  <c r="G46" i="44" s="1"/>
  <c r="E45" i="44"/>
  <c r="E46" i="44" s="1"/>
  <c r="D45" i="44"/>
  <c r="N45" i="44"/>
  <c r="L45" i="44"/>
  <c r="J45" i="44"/>
  <c r="J46" i="44" s="1"/>
  <c r="H45" i="44"/>
  <c r="F45" i="44"/>
  <c r="P24" i="44"/>
  <c r="D16" i="36"/>
  <c r="P26" i="44"/>
  <c r="D18" i="36"/>
  <c r="C33" i="44"/>
  <c r="C25" i="36"/>
  <c r="C22" i="36"/>
  <c r="C30" i="44"/>
  <c r="C67" i="32"/>
  <c r="P36" i="44"/>
  <c r="D28" i="36"/>
  <c r="O35" i="44"/>
  <c r="N35" i="44"/>
  <c r="M35" i="44"/>
  <c r="L35" i="44"/>
  <c r="K35" i="44"/>
  <c r="J35" i="44"/>
  <c r="I35" i="44"/>
  <c r="H35" i="44"/>
  <c r="G35" i="44"/>
  <c r="F35" i="44"/>
  <c r="E35" i="44"/>
  <c r="D35" i="44"/>
  <c r="Q35" i="44"/>
  <c r="Q36" i="44" s="1"/>
  <c r="L35" i="32"/>
  <c r="D36" i="38" s="1"/>
  <c r="O34" i="32"/>
  <c r="D35" i="38"/>
  <c r="E35" i="38"/>
  <c r="S47" i="32"/>
  <c r="D48" i="37" s="1"/>
  <c r="S29" i="32"/>
  <c r="D30" i="37" s="1"/>
  <c r="D29" i="37"/>
  <c r="S19" i="32"/>
  <c r="D20" i="37" s="1"/>
  <c r="D19" i="37"/>
  <c r="S15" i="32"/>
  <c r="D16" i="37" s="1"/>
  <c r="D15" i="37"/>
  <c r="L10" i="44"/>
  <c r="L12" i="44" s="1"/>
  <c r="D10" i="44"/>
  <c r="D12" i="44" s="1"/>
  <c r="N10" i="44"/>
  <c r="N12" i="44" s="1"/>
  <c r="S32" i="32"/>
  <c r="V5" i="32"/>
  <c r="M46" i="44" l="1"/>
  <c r="F16" i="32"/>
  <c r="F35" i="32"/>
  <c r="F36" i="36" s="1"/>
  <c r="F46" i="44"/>
  <c r="P11" i="44"/>
  <c r="K46" i="44"/>
  <c r="P28" i="44"/>
  <c r="C21" i="38"/>
  <c r="C48" i="44"/>
  <c r="C69" i="32"/>
  <c r="C42" i="36"/>
  <c r="C39" i="38"/>
  <c r="K84" i="32"/>
  <c r="K39" i="32"/>
  <c r="K68" i="32"/>
  <c r="K41" i="32"/>
  <c r="P17" i="44"/>
  <c r="Q17" i="44" s="1"/>
  <c r="Q18" i="44" s="1"/>
  <c r="D9" i="36"/>
  <c r="D9" i="32"/>
  <c r="R21" i="32"/>
  <c r="R24" i="32"/>
  <c r="C25" i="37" s="1"/>
  <c r="R66" i="32"/>
  <c r="C21" i="37"/>
  <c r="R22" i="32"/>
  <c r="R83" i="32"/>
  <c r="E9" i="36"/>
  <c r="E9" i="32"/>
  <c r="E10" i="36" s="1"/>
  <c r="E29" i="36"/>
  <c r="E29" i="32"/>
  <c r="E30" i="36" s="1"/>
  <c r="E37" i="36"/>
  <c r="E37" i="32"/>
  <c r="E38" i="36" s="1"/>
  <c r="L12" i="32"/>
  <c r="L10" i="32" s="1"/>
  <c r="D11" i="38" s="1"/>
  <c r="C42" i="37"/>
  <c r="R43" i="32"/>
  <c r="C22" i="38"/>
  <c r="K67" i="32"/>
  <c r="C40" i="37"/>
  <c r="R69" i="32"/>
  <c r="D56" i="44"/>
  <c r="N56" i="44"/>
  <c r="L56" i="44"/>
  <c r="J56" i="44"/>
  <c r="H56" i="44"/>
  <c r="F56" i="44"/>
  <c r="O56" i="44"/>
  <c r="M56" i="44"/>
  <c r="K56" i="44"/>
  <c r="I56" i="44"/>
  <c r="G56" i="44"/>
  <c r="E56" i="44"/>
  <c r="K23" i="32"/>
  <c r="C24" i="38" s="1"/>
  <c r="C23" i="38"/>
  <c r="Q56" i="44"/>
  <c r="G8" i="32"/>
  <c r="F9" i="36"/>
  <c r="F9" i="32"/>
  <c r="F10" i="36" s="1"/>
  <c r="F47" i="32"/>
  <c r="F48" i="36" s="1"/>
  <c r="G89" i="32"/>
  <c r="G47" i="32" s="1"/>
  <c r="G48" i="36" s="1"/>
  <c r="F15" i="32"/>
  <c r="F16" i="36" s="1"/>
  <c r="F15" i="36"/>
  <c r="G14" i="32"/>
  <c r="G28" i="32"/>
  <c r="F29" i="32"/>
  <c r="F30" i="36" s="1"/>
  <c r="F29" i="36"/>
  <c r="G36" i="32"/>
  <c r="F37" i="32"/>
  <c r="F38" i="36" s="1"/>
  <c r="F37" i="36"/>
  <c r="G12" i="34"/>
  <c r="G6" i="36"/>
  <c r="F27" i="32"/>
  <c r="F28" i="36" s="1"/>
  <c r="F27" i="36"/>
  <c r="G26" i="32"/>
  <c r="F19" i="32"/>
  <c r="F20" i="36" s="1"/>
  <c r="F19" i="36"/>
  <c r="G18" i="32"/>
  <c r="L11" i="32"/>
  <c r="D12" i="38" s="1"/>
  <c r="G13" i="34"/>
  <c r="G6" i="37"/>
  <c r="H13" i="44"/>
  <c r="H44" i="44"/>
  <c r="H38" i="44"/>
  <c r="L13" i="44"/>
  <c r="L44" i="44"/>
  <c r="L38" i="44"/>
  <c r="G35" i="38"/>
  <c r="E36" i="44"/>
  <c r="G36" i="44"/>
  <c r="I36" i="44"/>
  <c r="K36" i="44"/>
  <c r="M36" i="44"/>
  <c r="O36" i="44"/>
  <c r="T27" i="32"/>
  <c r="E28" i="37" s="1"/>
  <c r="T38" i="32"/>
  <c r="E27" i="37"/>
  <c r="T29" i="32"/>
  <c r="E30" i="37" s="1"/>
  <c r="E29" i="37"/>
  <c r="T15" i="32"/>
  <c r="E16" i="37" s="1"/>
  <c r="E15" i="37"/>
  <c r="T19" i="32"/>
  <c r="E20" i="37" s="1"/>
  <c r="E19" i="37"/>
  <c r="D33" i="32"/>
  <c r="P41" i="44"/>
  <c r="D33" i="36"/>
  <c r="D30" i="32"/>
  <c r="D12" i="32"/>
  <c r="C44" i="32"/>
  <c r="C86" i="32"/>
  <c r="C52" i="44"/>
  <c r="C44" i="36"/>
  <c r="C70" i="32"/>
  <c r="C16" i="34"/>
  <c r="L27" i="32"/>
  <c r="D28" i="38" s="1"/>
  <c r="D27" i="38"/>
  <c r="L38" i="32"/>
  <c r="L37" i="32"/>
  <c r="D38" i="38" s="1"/>
  <c r="D37" i="38"/>
  <c r="L17" i="32"/>
  <c r="D18" i="38" s="1"/>
  <c r="D17" i="38"/>
  <c r="L9" i="32"/>
  <c r="D10" i="38" s="1"/>
  <c r="L20" i="32"/>
  <c r="D9" i="38"/>
  <c r="N5" i="32"/>
  <c r="M18" i="32"/>
  <c r="M16" i="32"/>
  <c r="M14" i="32"/>
  <c r="M8" i="32"/>
  <c r="M28" i="32"/>
  <c r="M36" i="32"/>
  <c r="M26" i="32"/>
  <c r="M32" i="32"/>
  <c r="M30" i="32" s="1"/>
  <c r="M82" i="32"/>
  <c r="E6" i="38"/>
  <c r="M89" i="32"/>
  <c r="M47" i="32" s="1"/>
  <c r="E48" i="38" s="1"/>
  <c r="E11" i="34"/>
  <c r="M65" i="32"/>
  <c r="I13" i="44"/>
  <c r="I44" i="44"/>
  <c r="I38" i="44"/>
  <c r="G13" i="44"/>
  <c r="G44" i="44"/>
  <c r="G38" i="44"/>
  <c r="O13" i="44"/>
  <c r="O44" i="44"/>
  <c r="O38" i="44"/>
  <c r="J23" i="44"/>
  <c r="J24" i="44" s="1"/>
  <c r="J27" i="44"/>
  <c r="J28" i="44" s="1"/>
  <c r="J17" i="44"/>
  <c r="J25" i="44"/>
  <c r="J26" i="44" s="1"/>
  <c r="H46" i="44"/>
  <c r="L46" i="44"/>
  <c r="D46" i="44"/>
  <c r="D33" i="37"/>
  <c r="S33" i="32"/>
  <c r="D34" i="37" s="1"/>
  <c r="S12" i="32"/>
  <c r="S30" i="32"/>
  <c r="N13" i="44"/>
  <c r="N44" i="44"/>
  <c r="N38" i="44"/>
  <c r="D13" i="44"/>
  <c r="D38" i="44"/>
  <c r="D44" i="44"/>
  <c r="D36" i="44"/>
  <c r="F36" i="44"/>
  <c r="H36" i="44"/>
  <c r="J36" i="44"/>
  <c r="L36" i="44"/>
  <c r="N36" i="44"/>
  <c r="T31" i="32"/>
  <c r="E32" i="37" s="1"/>
  <c r="E31" i="37"/>
  <c r="T33" i="32"/>
  <c r="E34" i="37" s="1"/>
  <c r="E33" i="37"/>
  <c r="T37" i="32"/>
  <c r="E38" i="37" s="1"/>
  <c r="E37" i="37"/>
  <c r="T9" i="32"/>
  <c r="E10" i="37" s="1"/>
  <c r="E9" i="37"/>
  <c r="T17" i="32"/>
  <c r="E18" i="37" s="1"/>
  <c r="E17" i="37"/>
  <c r="U26" i="32"/>
  <c r="V26" i="32" s="1"/>
  <c r="U36" i="32"/>
  <c r="U28" i="32"/>
  <c r="U8" i="32"/>
  <c r="U18" i="32"/>
  <c r="U16" i="32"/>
  <c r="V16" i="32" s="1"/>
  <c r="U14" i="32"/>
  <c r="U32" i="32"/>
  <c r="U30" i="32" s="1"/>
  <c r="U82" i="32"/>
  <c r="V82" i="32" s="1"/>
  <c r="U65" i="32"/>
  <c r="F6" i="37"/>
  <c r="U89" i="32"/>
  <c r="F13" i="34"/>
  <c r="F64" i="32"/>
  <c r="F32" i="32" s="1"/>
  <c r="E32" i="32"/>
  <c r="C24" i="36"/>
  <c r="C32" i="44"/>
  <c r="L47" i="32"/>
  <c r="D48" i="38" s="1"/>
  <c r="L31" i="32"/>
  <c r="D32" i="38" s="1"/>
  <c r="D31" i="38"/>
  <c r="L33" i="32"/>
  <c r="D34" i="38" s="1"/>
  <c r="D33" i="38"/>
  <c r="L29" i="32"/>
  <c r="D30" i="38" s="1"/>
  <c r="D29" i="38"/>
  <c r="L19" i="32"/>
  <c r="D20" i="38" s="1"/>
  <c r="D19" i="38"/>
  <c r="L15" i="32"/>
  <c r="D16" i="38" s="1"/>
  <c r="D15" i="38"/>
  <c r="Q58" i="46"/>
  <c r="R52" i="46"/>
  <c r="R53" i="46" s="1"/>
  <c r="Q53" i="46"/>
  <c r="E13" i="44"/>
  <c r="E44" i="44"/>
  <c r="E38" i="44"/>
  <c r="M13" i="44"/>
  <c r="M44" i="44"/>
  <c r="M38" i="44"/>
  <c r="K13" i="44"/>
  <c r="K44" i="44"/>
  <c r="K38" i="44"/>
  <c r="F13" i="44"/>
  <c r="F44" i="44"/>
  <c r="F38" i="44"/>
  <c r="V35" i="32"/>
  <c r="G36" i="37" s="1"/>
  <c r="G35" i="37"/>
  <c r="N46" i="44"/>
  <c r="T12" i="32"/>
  <c r="O5" i="32"/>
  <c r="F17" i="36" l="1"/>
  <c r="G16" i="32"/>
  <c r="F17" i="32"/>
  <c r="F18" i="36" s="1"/>
  <c r="D13" i="38"/>
  <c r="U12" i="32"/>
  <c r="U10" i="32" s="1"/>
  <c r="L13" i="32"/>
  <c r="D14" i="38" s="1"/>
  <c r="C23" i="37"/>
  <c r="R23" i="32"/>
  <c r="C24" i="37" s="1"/>
  <c r="C22" i="37"/>
  <c r="R67" i="32"/>
  <c r="K43" i="32"/>
  <c r="C42" i="38"/>
  <c r="K69" i="32"/>
  <c r="C40" i="38"/>
  <c r="P18" i="44"/>
  <c r="D10" i="36"/>
  <c r="M12" i="32"/>
  <c r="M10" i="32" s="1"/>
  <c r="M20" i="32" s="1"/>
  <c r="C17" i="34"/>
  <c r="R44" i="32"/>
  <c r="R86" i="32"/>
  <c r="R70" i="32"/>
  <c r="C44" i="37"/>
  <c r="G27" i="36"/>
  <c r="G27" i="32"/>
  <c r="G28" i="36" s="1"/>
  <c r="G29" i="32"/>
  <c r="G30" i="36" s="1"/>
  <c r="G29" i="36"/>
  <c r="G9" i="32"/>
  <c r="G10" i="36" s="1"/>
  <c r="G9" i="36"/>
  <c r="G19" i="32"/>
  <c r="G20" i="36" s="1"/>
  <c r="G19" i="36"/>
  <c r="G37" i="32"/>
  <c r="G38" i="36" s="1"/>
  <c r="G37" i="36"/>
  <c r="G15" i="36"/>
  <c r="G15" i="32"/>
  <c r="G16" i="36" s="1"/>
  <c r="V27" i="32"/>
  <c r="G28" i="37" s="1"/>
  <c r="G27" i="37"/>
  <c r="T13" i="32"/>
  <c r="E14" i="37" s="1"/>
  <c r="E13" i="37"/>
  <c r="T10" i="32"/>
  <c r="Q59" i="46"/>
  <c r="R58" i="46"/>
  <c r="R59" i="46" s="1"/>
  <c r="F33" i="36"/>
  <c r="F33" i="32"/>
  <c r="F34" i="36" s="1"/>
  <c r="F30" i="32"/>
  <c r="F12" i="32"/>
  <c r="U47" i="32"/>
  <c r="F48" i="37" s="1"/>
  <c r="V89" i="32"/>
  <c r="V47" i="32" s="1"/>
  <c r="G48" i="37" s="1"/>
  <c r="U13" i="32"/>
  <c r="F14" i="37" s="1"/>
  <c r="F13" i="37"/>
  <c r="F33" i="37"/>
  <c r="U33" i="32"/>
  <c r="F34" i="37" s="1"/>
  <c r="U17" i="32"/>
  <c r="F18" i="37" s="1"/>
  <c r="F17" i="37"/>
  <c r="U9" i="32"/>
  <c r="F10" i="37" s="1"/>
  <c r="F9" i="37"/>
  <c r="U20" i="32"/>
  <c r="U37" i="32"/>
  <c r="F38" i="37" s="1"/>
  <c r="F37" i="37"/>
  <c r="D17" i="44"/>
  <c r="D23" i="44"/>
  <c r="D24" i="44" s="1"/>
  <c r="D25" i="44"/>
  <c r="D26" i="44" s="1"/>
  <c r="D27" i="44"/>
  <c r="D28" i="44" s="1"/>
  <c r="N23" i="44"/>
  <c r="N24" i="44" s="1"/>
  <c r="N27" i="44"/>
  <c r="N28" i="44" s="1"/>
  <c r="N17" i="44"/>
  <c r="N25" i="44"/>
  <c r="N26" i="44" s="1"/>
  <c r="V12" i="32"/>
  <c r="S13" i="32"/>
  <c r="D14" i="37" s="1"/>
  <c r="D13" i="37"/>
  <c r="S10" i="32"/>
  <c r="O23" i="44"/>
  <c r="O24" i="44" s="1"/>
  <c r="O27" i="44"/>
  <c r="O28" i="44" s="1"/>
  <c r="O17" i="44"/>
  <c r="O25" i="44"/>
  <c r="O26" i="44" s="1"/>
  <c r="G23" i="44"/>
  <c r="G24" i="44" s="1"/>
  <c r="G27" i="44"/>
  <c r="G28" i="44" s="1"/>
  <c r="G17" i="44"/>
  <c r="G25" i="44"/>
  <c r="G26" i="44" s="1"/>
  <c r="I23" i="44"/>
  <c r="I24" i="44" s="1"/>
  <c r="I27" i="44"/>
  <c r="I28" i="44" s="1"/>
  <c r="I17" i="44"/>
  <c r="I25" i="44"/>
  <c r="I26" i="44" s="1"/>
  <c r="M13" i="32"/>
  <c r="E14" i="38" s="1"/>
  <c r="M31" i="32"/>
  <c r="E32" i="38" s="1"/>
  <c r="E31" i="38"/>
  <c r="E33" i="38"/>
  <c r="M33" i="32"/>
  <c r="E34" i="38" s="1"/>
  <c r="M37" i="32"/>
  <c r="E38" i="38" s="1"/>
  <c r="E37" i="38"/>
  <c r="M9" i="32"/>
  <c r="E10" i="38" s="1"/>
  <c r="E9" i="38"/>
  <c r="M17" i="32"/>
  <c r="E18" i="38" s="1"/>
  <c r="E17" i="38"/>
  <c r="N26" i="32"/>
  <c r="N36" i="32"/>
  <c r="N28" i="32"/>
  <c r="N8" i="32"/>
  <c r="N18" i="32"/>
  <c r="N16" i="32"/>
  <c r="O16" i="32" s="1"/>
  <c r="N14" i="32"/>
  <c r="N89" i="32"/>
  <c r="N65" i="32"/>
  <c r="F6" i="38"/>
  <c r="N32" i="32"/>
  <c r="N12" i="32" s="1"/>
  <c r="N82" i="32"/>
  <c r="O82" i="32" s="1"/>
  <c r="F11" i="34"/>
  <c r="N35" i="32"/>
  <c r="F36" i="38" s="1"/>
  <c r="L21" i="32"/>
  <c r="L41" i="32"/>
  <c r="D21" i="38"/>
  <c r="L83" i="32"/>
  <c r="L66" i="32"/>
  <c r="L22" i="32"/>
  <c r="L24" i="32"/>
  <c r="D25" i="38" s="1"/>
  <c r="C53" i="44"/>
  <c r="C45" i="36"/>
  <c r="C71" i="32"/>
  <c r="D31" i="32"/>
  <c r="P39" i="44"/>
  <c r="D31" i="36"/>
  <c r="D38" i="32"/>
  <c r="P42" i="44"/>
  <c r="D34" i="36"/>
  <c r="T39" i="32"/>
  <c r="E39" i="37"/>
  <c r="T84" i="32"/>
  <c r="T68" i="32"/>
  <c r="V36" i="32"/>
  <c r="G11" i="34"/>
  <c r="G6" i="38"/>
  <c r="V17" i="32"/>
  <c r="G18" i="37" s="1"/>
  <c r="G17" i="37"/>
  <c r="F23" i="44"/>
  <c r="F24" i="44" s="1"/>
  <c r="F27" i="44"/>
  <c r="F28" i="44" s="1"/>
  <c r="F17" i="44"/>
  <c r="F25" i="44"/>
  <c r="F26" i="44" s="1"/>
  <c r="K23" i="44"/>
  <c r="K24" i="44" s="1"/>
  <c r="K27" i="44"/>
  <c r="K28" i="44" s="1"/>
  <c r="K17" i="44"/>
  <c r="K25" i="44"/>
  <c r="K26" i="44" s="1"/>
  <c r="M23" i="44"/>
  <c r="M24" i="44" s="1"/>
  <c r="M27" i="44"/>
  <c r="M28" i="44" s="1"/>
  <c r="M17" i="44"/>
  <c r="M25" i="44"/>
  <c r="M26" i="44" s="1"/>
  <c r="E23" i="44"/>
  <c r="E24" i="44" s="1"/>
  <c r="E27" i="44"/>
  <c r="E28" i="44" s="1"/>
  <c r="E17" i="44"/>
  <c r="E25" i="44"/>
  <c r="E26" i="44" s="1"/>
  <c r="E33" i="36"/>
  <c r="E33" i="32"/>
  <c r="E34" i="36" s="1"/>
  <c r="E30" i="32"/>
  <c r="E12" i="32"/>
  <c r="F31" i="37"/>
  <c r="U31" i="32"/>
  <c r="F32" i="37" s="1"/>
  <c r="U11" i="32"/>
  <c r="F12" i="37" s="1"/>
  <c r="F11" i="37"/>
  <c r="U15" i="32"/>
  <c r="F16" i="37" s="1"/>
  <c r="F15" i="37"/>
  <c r="V14" i="32"/>
  <c r="U19" i="32"/>
  <c r="F20" i="37" s="1"/>
  <c r="F19" i="37"/>
  <c r="V18" i="32"/>
  <c r="U29" i="32"/>
  <c r="F30" i="37" s="1"/>
  <c r="F29" i="37"/>
  <c r="V28" i="32"/>
  <c r="U27" i="32"/>
  <c r="F28" i="37" s="1"/>
  <c r="F27" i="37"/>
  <c r="U38" i="32"/>
  <c r="V30" i="32"/>
  <c r="S31" i="32"/>
  <c r="D32" i="37" s="1"/>
  <c r="D31" i="37"/>
  <c r="S38" i="32"/>
  <c r="J18" i="44"/>
  <c r="E11" i="38"/>
  <c r="M27" i="32"/>
  <c r="E28" i="38" s="1"/>
  <c r="E27" i="38"/>
  <c r="M38" i="32"/>
  <c r="M29" i="32"/>
  <c r="E30" i="38" s="1"/>
  <c r="E29" i="38"/>
  <c r="M15" i="32"/>
  <c r="E16" i="38" s="1"/>
  <c r="E15" i="38"/>
  <c r="M19" i="32"/>
  <c r="E20" i="38" s="1"/>
  <c r="E19" i="38"/>
  <c r="D39" i="38"/>
  <c r="L39" i="32"/>
  <c r="L84" i="32"/>
  <c r="L68" i="32"/>
  <c r="C90" i="32"/>
  <c r="C87" i="32"/>
  <c r="P21" i="44"/>
  <c r="F21" i="44" s="1"/>
  <c r="F22" i="44" s="1"/>
  <c r="D13" i="32"/>
  <c r="D13" i="36"/>
  <c r="D10" i="32"/>
  <c r="Q41" i="44"/>
  <c r="Q42" i="44" s="1"/>
  <c r="D41" i="44"/>
  <c r="D42" i="44" s="1"/>
  <c r="O41" i="44"/>
  <c r="O42" i="44" s="1"/>
  <c r="M41" i="44"/>
  <c r="M42" i="44" s="1"/>
  <c r="K41" i="44"/>
  <c r="K42" i="44" s="1"/>
  <c r="I41" i="44"/>
  <c r="I42" i="44" s="1"/>
  <c r="G41" i="44"/>
  <c r="G42" i="44" s="1"/>
  <c r="E41" i="44"/>
  <c r="E42" i="44" s="1"/>
  <c r="N41" i="44"/>
  <c r="N42" i="44" s="1"/>
  <c r="L41" i="44"/>
  <c r="L42" i="44" s="1"/>
  <c r="J41" i="44"/>
  <c r="J42" i="44" s="1"/>
  <c r="H41" i="44"/>
  <c r="H42" i="44" s="1"/>
  <c r="F41" i="44"/>
  <c r="F42" i="44" s="1"/>
  <c r="L23" i="44"/>
  <c r="L24" i="44" s="1"/>
  <c r="L27" i="44"/>
  <c r="L28" i="44" s="1"/>
  <c r="L21" i="44"/>
  <c r="L22" i="44" s="1"/>
  <c r="L17" i="44"/>
  <c r="L25" i="44"/>
  <c r="L26" i="44" s="1"/>
  <c r="H23" i="44"/>
  <c r="H24" i="44" s="1"/>
  <c r="H27" i="44"/>
  <c r="H28" i="44" s="1"/>
  <c r="H17" i="44"/>
  <c r="H25" i="44"/>
  <c r="H26" i="44" s="1"/>
  <c r="V32" i="32"/>
  <c r="G32" i="32"/>
  <c r="O35" i="32"/>
  <c r="G36" i="38" s="1"/>
  <c r="V8" i="32"/>
  <c r="G17" i="36" l="1"/>
  <c r="G17" i="32"/>
  <c r="G18" i="36" s="1"/>
  <c r="G12" i="32"/>
  <c r="H21" i="44"/>
  <c r="H22" i="44" s="1"/>
  <c r="M11" i="32"/>
  <c r="E12" i="38" s="1"/>
  <c r="E13" i="38"/>
  <c r="C44" i="38"/>
  <c r="K70" i="32"/>
  <c r="K44" i="32"/>
  <c r="C15" i="34"/>
  <c r="K86" i="32"/>
  <c r="R87" i="32"/>
  <c r="R90" i="32"/>
  <c r="E21" i="44"/>
  <c r="E22" i="44" s="1"/>
  <c r="C45" i="37"/>
  <c r="R71" i="32"/>
  <c r="K21" i="44"/>
  <c r="K22" i="44" s="1"/>
  <c r="M21" i="44"/>
  <c r="M22" i="44" s="1"/>
  <c r="O17" i="32"/>
  <c r="G18" i="38" s="1"/>
  <c r="G17" i="38"/>
  <c r="F13" i="38"/>
  <c r="N13" i="32"/>
  <c r="F14" i="38" s="1"/>
  <c r="O12" i="32"/>
  <c r="N10" i="32"/>
  <c r="N20" i="32" s="1"/>
  <c r="G33" i="32"/>
  <c r="G34" i="36" s="1"/>
  <c r="G33" i="36"/>
  <c r="V9" i="32"/>
  <c r="G10" i="37" s="1"/>
  <c r="G9" i="37"/>
  <c r="G33" i="37"/>
  <c r="V33" i="32"/>
  <c r="G34" i="37" s="1"/>
  <c r="H18" i="44"/>
  <c r="L18" i="44"/>
  <c r="P19" i="44"/>
  <c r="D11" i="32"/>
  <c r="D11" i="36"/>
  <c r="D20" i="32"/>
  <c r="Q21" i="44"/>
  <c r="Q22" i="44" s="1"/>
  <c r="J21" i="44"/>
  <c r="J22" i="44" s="1"/>
  <c r="C91" i="32"/>
  <c r="C50" i="32" s="1"/>
  <c r="C49" i="32"/>
  <c r="D40" i="38"/>
  <c r="L69" i="32"/>
  <c r="M84" i="32"/>
  <c r="M68" i="32"/>
  <c r="M39" i="32"/>
  <c r="E39" i="38"/>
  <c r="V31" i="32"/>
  <c r="G32" i="37" s="1"/>
  <c r="G31" i="37"/>
  <c r="V29" i="32"/>
  <c r="G30" i="37" s="1"/>
  <c r="G29" i="37"/>
  <c r="V15" i="32"/>
  <c r="G16" i="37" s="1"/>
  <c r="G15" i="37"/>
  <c r="E31" i="36"/>
  <c r="E31" i="32"/>
  <c r="E32" i="36" s="1"/>
  <c r="E38" i="32"/>
  <c r="F18" i="44"/>
  <c r="E40" i="37"/>
  <c r="T69" i="32"/>
  <c r="O39" i="44"/>
  <c r="N39" i="44"/>
  <c r="M39" i="44"/>
  <c r="L39" i="44"/>
  <c r="K39" i="44"/>
  <c r="J39" i="44"/>
  <c r="I39" i="44"/>
  <c r="H39" i="44"/>
  <c r="G39" i="44"/>
  <c r="F39" i="44"/>
  <c r="E39" i="44"/>
  <c r="D39" i="44"/>
  <c r="Q39" i="44"/>
  <c r="Q40" i="44" s="1"/>
  <c r="L23" i="32"/>
  <c r="D24" i="38" s="1"/>
  <c r="D23" i="38"/>
  <c r="L67" i="32"/>
  <c r="D22" i="38"/>
  <c r="N47" i="32"/>
  <c r="F48" i="38" s="1"/>
  <c r="O89" i="32"/>
  <c r="O47" i="32" s="1"/>
  <c r="G48" i="38" s="1"/>
  <c r="N15" i="32"/>
  <c r="F16" i="38" s="1"/>
  <c r="F15" i="38"/>
  <c r="O14" i="32"/>
  <c r="N19" i="32"/>
  <c r="F20" i="38" s="1"/>
  <c r="F19" i="38"/>
  <c r="O18" i="32"/>
  <c r="N29" i="32"/>
  <c r="F30" i="38" s="1"/>
  <c r="F29" i="38"/>
  <c r="O28" i="32"/>
  <c r="N27" i="32"/>
  <c r="F28" i="38" s="1"/>
  <c r="F27" i="38"/>
  <c r="M41" i="32"/>
  <c r="M83" i="32"/>
  <c r="M66" i="32"/>
  <c r="M21" i="32"/>
  <c r="E21" i="38"/>
  <c r="M24" i="32"/>
  <c r="E25" i="38" s="1"/>
  <c r="M22" i="32"/>
  <c r="I18" i="44"/>
  <c r="G18" i="44"/>
  <c r="O18" i="44"/>
  <c r="D11" i="37"/>
  <c r="S11" i="32"/>
  <c r="D12" i="37" s="1"/>
  <c r="V10" i="32"/>
  <c r="S20" i="32"/>
  <c r="U41" i="32"/>
  <c r="F21" i="37"/>
  <c r="U21" i="32"/>
  <c r="U83" i="32"/>
  <c r="U66" i="32"/>
  <c r="U22" i="32"/>
  <c r="U24" i="32"/>
  <c r="F25" i="37" s="1"/>
  <c r="F31" i="32"/>
  <c r="F32" i="36" s="1"/>
  <c r="F31" i="36"/>
  <c r="F38" i="32"/>
  <c r="G38" i="32" s="1"/>
  <c r="G30" i="32"/>
  <c r="I21" i="44"/>
  <c r="I22" i="44" s="1"/>
  <c r="G21" i="44"/>
  <c r="G22" i="44" s="1"/>
  <c r="O21" i="44"/>
  <c r="O22" i="44" s="1"/>
  <c r="N21" i="44"/>
  <c r="N22" i="44" s="1"/>
  <c r="O26" i="32"/>
  <c r="G13" i="32"/>
  <c r="G14" i="36" s="1"/>
  <c r="G13" i="36"/>
  <c r="D14" i="36"/>
  <c r="P22" i="44"/>
  <c r="S39" i="32"/>
  <c r="V38" i="32"/>
  <c r="D39" i="37"/>
  <c r="S84" i="32"/>
  <c r="S68" i="32"/>
  <c r="F39" i="37"/>
  <c r="U39" i="32"/>
  <c r="U84" i="32"/>
  <c r="U68" i="32"/>
  <c r="V19" i="32"/>
  <c r="G20" i="37" s="1"/>
  <c r="G19" i="37"/>
  <c r="E13" i="36"/>
  <c r="E13" i="32"/>
  <c r="E14" i="36" s="1"/>
  <c r="E10" i="32"/>
  <c r="E18" i="44"/>
  <c r="M18" i="44"/>
  <c r="K18" i="44"/>
  <c r="V37" i="32"/>
  <c r="G38" i="37" s="1"/>
  <c r="G37" i="37"/>
  <c r="D39" i="32"/>
  <c r="D39" i="36"/>
  <c r="P47" i="44"/>
  <c r="Q47" i="44" s="1"/>
  <c r="Q48" i="44" s="1"/>
  <c r="D84" i="32"/>
  <c r="D68" i="32"/>
  <c r="P40" i="44"/>
  <c r="D32" i="36"/>
  <c r="D42" i="38"/>
  <c r="L43" i="32"/>
  <c r="N33" i="32"/>
  <c r="F34" i="38" s="1"/>
  <c r="F33" i="38"/>
  <c r="O32" i="32"/>
  <c r="N17" i="32"/>
  <c r="F18" i="38" s="1"/>
  <c r="F17" i="38"/>
  <c r="N9" i="32"/>
  <c r="F10" i="38" s="1"/>
  <c r="F9" i="38"/>
  <c r="O8" i="32"/>
  <c r="N37" i="32"/>
  <c r="F38" i="38" s="1"/>
  <c r="F37" i="38"/>
  <c r="O36" i="32"/>
  <c r="V13" i="32"/>
  <c r="G14" i="37" s="1"/>
  <c r="G13" i="37"/>
  <c r="N18" i="44"/>
  <c r="D18" i="44"/>
  <c r="F13" i="32"/>
  <c r="F14" i="36" s="1"/>
  <c r="F13" i="36"/>
  <c r="F10" i="32"/>
  <c r="E11" i="37"/>
  <c r="T11" i="32"/>
  <c r="E12" i="37" s="1"/>
  <c r="T20" i="32"/>
  <c r="N30" i="32"/>
  <c r="D21" i="44"/>
  <c r="D22" i="44" s="1"/>
  <c r="K87" i="32" l="1"/>
  <c r="K90" i="32"/>
  <c r="K71" i="32"/>
  <c r="C45" i="38"/>
  <c r="R49" i="32"/>
  <c r="R91" i="32"/>
  <c r="R50" i="32" s="1"/>
  <c r="C51" i="37" s="1"/>
  <c r="T21" i="32"/>
  <c r="E21" i="37"/>
  <c r="T83" i="32"/>
  <c r="T66" i="32"/>
  <c r="T41" i="32"/>
  <c r="T22" i="32"/>
  <c r="T24" i="32"/>
  <c r="E25" i="37" s="1"/>
  <c r="O37" i="32"/>
  <c r="G38" i="38" s="1"/>
  <c r="G37" i="38"/>
  <c r="L44" i="32"/>
  <c r="D44" i="38"/>
  <c r="L86" i="32"/>
  <c r="D15" i="34"/>
  <c r="L70" i="32"/>
  <c r="P48" i="44"/>
  <c r="D40" i="36"/>
  <c r="D69" i="32"/>
  <c r="F40" i="37"/>
  <c r="U69" i="32"/>
  <c r="S69" i="32"/>
  <c r="D40" i="37"/>
  <c r="F22" i="37"/>
  <c r="U67" i="32"/>
  <c r="F42" i="37"/>
  <c r="U43" i="32"/>
  <c r="V11" i="32"/>
  <c r="G12" i="37" s="1"/>
  <c r="G11" i="37"/>
  <c r="E22" i="38"/>
  <c r="M67" i="32"/>
  <c r="O19" i="32"/>
  <c r="G20" i="38" s="1"/>
  <c r="G19" i="38"/>
  <c r="E40" i="44"/>
  <c r="E47" i="44"/>
  <c r="G40" i="44"/>
  <c r="G47" i="44"/>
  <c r="I40" i="44"/>
  <c r="I47" i="44"/>
  <c r="K40" i="44"/>
  <c r="K47" i="44"/>
  <c r="M40" i="44"/>
  <c r="M47" i="44"/>
  <c r="O40" i="44"/>
  <c r="O47" i="44"/>
  <c r="C50" i="36"/>
  <c r="C58" i="44"/>
  <c r="C20" i="34"/>
  <c r="D21" i="32"/>
  <c r="D41" i="32"/>
  <c r="D21" i="36"/>
  <c r="D22" i="32"/>
  <c r="P29" i="44"/>
  <c r="Q29" i="44" s="1"/>
  <c r="Q30" i="44" s="1"/>
  <c r="D24" i="32"/>
  <c r="D83" i="32"/>
  <c r="D66" i="32"/>
  <c r="P20" i="44"/>
  <c r="D12" i="36"/>
  <c r="Q19" i="44"/>
  <c r="Q20" i="44" s="1"/>
  <c r="J19" i="44"/>
  <c r="N19" i="44"/>
  <c r="O19" i="44"/>
  <c r="G19" i="44"/>
  <c r="I19" i="44"/>
  <c r="D19" i="44"/>
  <c r="F19" i="44"/>
  <c r="K19" i="44"/>
  <c r="M19" i="44"/>
  <c r="E19" i="44"/>
  <c r="L19" i="44"/>
  <c r="H19" i="44"/>
  <c r="G13" i="38"/>
  <c r="O13" i="32"/>
  <c r="G14" i="38" s="1"/>
  <c r="N31" i="32"/>
  <c r="F32" i="38" s="1"/>
  <c r="F31" i="38"/>
  <c r="O30" i="32"/>
  <c r="F11" i="32"/>
  <c r="F12" i="36" s="1"/>
  <c r="F11" i="36"/>
  <c r="F20" i="32"/>
  <c r="O9" i="32"/>
  <c r="G10" i="38" s="1"/>
  <c r="G9" i="38"/>
  <c r="N21" i="32"/>
  <c r="F21" i="38"/>
  <c r="N83" i="32"/>
  <c r="O83" i="32" s="1"/>
  <c r="N66" i="32"/>
  <c r="N24" i="32"/>
  <c r="F25" i="38" s="1"/>
  <c r="O20" i="32"/>
  <c r="N22" i="32"/>
  <c r="O33" i="32"/>
  <c r="G34" i="38" s="1"/>
  <c r="G33" i="38"/>
  <c r="G39" i="36"/>
  <c r="G39" i="32"/>
  <c r="G40" i="36" s="1"/>
  <c r="E11" i="32"/>
  <c r="E12" i="36" s="1"/>
  <c r="E11" i="36"/>
  <c r="E20" i="32"/>
  <c r="V39" i="32"/>
  <c r="G40" i="37" s="1"/>
  <c r="G39" i="37"/>
  <c r="O27" i="32"/>
  <c r="G28" i="38" s="1"/>
  <c r="G27" i="38"/>
  <c r="G31" i="32"/>
  <c r="G32" i="36" s="1"/>
  <c r="G31" i="36"/>
  <c r="F39" i="36"/>
  <c r="F39" i="32"/>
  <c r="F84" i="32"/>
  <c r="F68" i="32"/>
  <c r="F23" i="37"/>
  <c r="U23" i="32"/>
  <c r="F24" i="37" s="1"/>
  <c r="D21" i="37"/>
  <c r="V20" i="32"/>
  <c r="S21" i="32"/>
  <c r="S41" i="32"/>
  <c r="S83" i="32"/>
  <c r="S66" i="32"/>
  <c r="S22" i="32"/>
  <c r="S24" i="32"/>
  <c r="D25" i="37" s="1"/>
  <c r="M23" i="32"/>
  <c r="E24" i="38" s="1"/>
  <c r="E23" i="38"/>
  <c r="E42" i="38"/>
  <c r="M43" i="32"/>
  <c r="O29" i="32"/>
  <c r="G30" i="38" s="1"/>
  <c r="G29" i="38"/>
  <c r="O15" i="32"/>
  <c r="G16" i="38" s="1"/>
  <c r="G15" i="38"/>
  <c r="D40" i="44"/>
  <c r="D47" i="44"/>
  <c r="F40" i="44"/>
  <c r="F47" i="44"/>
  <c r="H40" i="44"/>
  <c r="H47" i="44"/>
  <c r="J40" i="44"/>
  <c r="J47" i="44"/>
  <c r="L40" i="44"/>
  <c r="L47" i="44"/>
  <c r="N40" i="44"/>
  <c r="N47" i="44"/>
  <c r="E39" i="32"/>
  <c r="E39" i="36"/>
  <c r="E68" i="32"/>
  <c r="E84" i="32"/>
  <c r="E40" i="38"/>
  <c r="M69" i="32"/>
  <c r="C59" i="44"/>
  <c r="C51" i="36"/>
  <c r="F11" i="38"/>
  <c r="N11" i="32"/>
  <c r="F12" i="38" s="1"/>
  <c r="O10" i="32"/>
  <c r="V84" i="32"/>
  <c r="N38" i="32"/>
  <c r="G10" i="32"/>
  <c r="G84" i="32" l="1"/>
  <c r="K49" i="32"/>
  <c r="K91" i="32"/>
  <c r="K50" i="32" s="1"/>
  <c r="C51" i="38" s="1"/>
  <c r="C21" i="34"/>
  <c r="C50" i="37"/>
  <c r="G11" i="32"/>
  <c r="G12" i="36" s="1"/>
  <c r="G11" i="36"/>
  <c r="N48" i="44"/>
  <c r="L48" i="44"/>
  <c r="J48" i="44"/>
  <c r="H48" i="44"/>
  <c r="F48" i="44"/>
  <c r="D48" i="44"/>
  <c r="M44" i="32"/>
  <c r="M86" i="32"/>
  <c r="M70" i="32"/>
  <c r="E44" i="38"/>
  <c r="E15" i="34"/>
  <c r="D42" i="37"/>
  <c r="V41" i="32"/>
  <c r="G42" i="37" s="1"/>
  <c r="S43" i="32"/>
  <c r="V21" i="32"/>
  <c r="G22" i="37" s="1"/>
  <c r="G21" i="37"/>
  <c r="V24" i="32"/>
  <c r="G25" i="37" s="1"/>
  <c r="V22" i="32"/>
  <c r="F40" i="36"/>
  <c r="F69" i="32"/>
  <c r="E41" i="32"/>
  <c r="E21" i="32"/>
  <c r="E21" i="36"/>
  <c r="E66" i="32"/>
  <c r="E83" i="32"/>
  <c r="E24" i="32"/>
  <c r="E25" i="36" s="1"/>
  <c r="E22" i="32"/>
  <c r="O21" i="32"/>
  <c r="G22" i="38" s="1"/>
  <c r="G21" i="38"/>
  <c r="O22" i="32"/>
  <c r="O24" i="32"/>
  <c r="G25" i="38" s="1"/>
  <c r="N67" i="32"/>
  <c r="F22" i="38"/>
  <c r="O31" i="32"/>
  <c r="G32" i="38" s="1"/>
  <c r="G31" i="38"/>
  <c r="H20" i="44"/>
  <c r="H29" i="44"/>
  <c r="E20" i="44"/>
  <c r="E29" i="44"/>
  <c r="E50" i="44" s="1"/>
  <c r="E52" i="44" s="1"/>
  <c r="K20" i="44"/>
  <c r="K29" i="44"/>
  <c r="K50" i="44" s="1"/>
  <c r="K52" i="44" s="1"/>
  <c r="D20" i="44"/>
  <c r="D29" i="44"/>
  <c r="G20" i="44"/>
  <c r="G29" i="44"/>
  <c r="G50" i="44" s="1"/>
  <c r="G52" i="44" s="1"/>
  <c r="N20" i="44"/>
  <c r="N29" i="44"/>
  <c r="D23" i="32"/>
  <c r="P31" i="44"/>
  <c r="Q31" i="44" s="1"/>
  <c r="Q32" i="44" s="1"/>
  <c r="Q33" i="44" s="1"/>
  <c r="D23" i="36"/>
  <c r="D42" i="36"/>
  <c r="P50" i="44"/>
  <c r="Q50" i="44" s="1"/>
  <c r="D43" i="32"/>
  <c r="L87" i="32"/>
  <c r="L90" i="32"/>
  <c r="E42" i="37"/>
  <c r="T43" i="32"/>
  <c r="E22" i="37"/>
  <c r="T67" i="32"/>
  <c r="N39" i="32"/>
  <c r="F39" i="38"/>
  <c r="N84" i="32"/>
  <c r="O84" i="32" s="1"/>
  <c r="N68" i="32"/>
  <c r="O38" i="32"/>
  <c r="O11" i="32"/>
  <c r="G12" i="38" s="1"/>
  <c r="G11" i="38"/>
  <c r="E40" i="36"/>
  <c r="E69" i="32"/>
  <c r="D23" i="37"/>
  <c r="S23" i="32"/>
  <c r="D24" i="37" s="1"/>
  <c r="D22" i="37"/>
  <c r="S67" i="32"/>
  <c r="N23" i="32"/>
  <c r="F24" i="38" s="1"/>
  <c r="F23" i="38"/>
  <c r="F41" i="32"/>
  <c r="F21" i="36"/>
  <c r="F21" i="32"/>
  <c r="F22" i="32"/>
  <c r="F24" i="32"/>
  <c r="F25" i="36" s="1"/>
  <c r="F83" i="32"/>
  <c r="F66" i="32"/>
  <c r="L20" i="44"/>
  <c r="L29" i="44"/>
  <c r="M20" i="44"/>
  <c r="M29" i="44"/>
  <c r="F20" i="44"/>
  <c r="F29" i="44"/>
  <c r="I20" i="44"/>
  <c r="I29" i="44"/>
  <c r="O20" i="44"/>
  <c r="O29" i="44"/>
  <c r="J20" i="44"/>
  <c r="J29" i="44"/>
  <c r="P33" i="44"/>
  <c r="D25" i="36"/>
  <c r="P30" i="44"/>
  <c r="Q30" i="46" s="1"/>
  <c r="D22" i="36"/>
  <c r="D67" i="32"/>
  <c r="O50" i="44"/>
  <c r="O52" i="44" s="1"/>
  <c r="O48" i="44"/>
  <c r="M48" i="44"/>
  <c r="K48" i="44"/>
  <c r="I48" i="44"/>
  <c r="G48" i="44"/>
  <c r="E48" i="44"/>
  <c r="U44" i="32"/>
  <c r="U86" i="32"/>
  <c r="F44" i="37"/>
  <c r="F17" i="34"/>
  <c r="U70" i="32"/>
  <c r="L71" i="32"/>
  <c r="D45" i="38"/>
  <c r="T23" i="32"/>
  <c r="E24" i="37" s="1"/>
  <c r="E23" i="37"/>
  <c r="G20" i="32"/>
  <c r="V83" i="32"/>
  <c r="N41" i="32"/>
  <c r="G83" i="32" l="1"/>
  <c r="C50" i="38"/>
  <c r="C19" i="34"/>
  <c r="G21" i="36"/>
  <c r="G21" i="32"/>
  <c r="G22" i="36" s="1"/>
  <c r="G24" i="32"/>
  <c r="G25" i="36" s="1"/>
  <c r="G22" i="32"/>
  <c r="U71" i="32"/>
  <c r="F45" i="37"/>
  <c r="G58" i="44"/>
  <c r="G59" i="44" s="1"/>
  <c r="G53" i="44"/>
  <c r="K58" i="44"/>
  <c r="K59" i="44" s="1"/>
  <c r="K53" i="44"/>
  <c r="O58" i="44"/>
  <c r="O59" i="44" s="1"/>
  <c r="O53" i="44"/>
  <c r="J30" i="44"/>
  <c r="K30" i="46" s="1"/>
  <c r="J31" i="44"/>
  <c r="J32" i="44" s="1"/>
  <c r="J33" i="44"/>
  <c r="O30" i="44"/>
  <c r="P30" i="46" s="1"/>
  <c r="O33" i="44"/>
  <c r="O31" i="44"/>
  <c r="O32" i="44" s="1"/>
  <c r="I30" i="44"/>
  <c r="J30" i="46" s="1"/>
  <c r="I33" i="44"/>
  <c r="I31" i="44"/>
  <c r="I32" i="44" s="1"/>
  <c r="F30" i="44"/>
  <c r="G30" i="46" s="1"/>
  <c r="F33" i="44"/>
  <c r="F31" i="44"/>
  <c r="F32" i="44" s="1"/>
  <c r="M30" i="44"/>
  <c r="N30" i="46" s="1"/>
  <c r="M31" i="44"/>
  <c r="M32" i="44" s="1"/>
  <c r="M33" i="44"/>
  <c r="L30" i="44"/>
  <c r="M30" i="46" s="1"/>
  <c r="L31" i="44"/>
  <c r="L32" i="44" s="1"/>
  <c r="L33" i="44"/>
  <c r="F22" i="36"/>
  <c r="F67" i="32"/>
  <c r="F42" i="36"/>
  <c r="F43" i="32"/>
  <c r="E44" i="37"/>
  <c r="E17" i="34"/>
  <c r="T70" i="32"/>
  <c r="T44" i="32"/>
  <c r="T86" i="32"/>
  <c r="L91" i="32"/>
  <c r="L50" i="32" s="1"/>
  <c r="D51" i="38" s="1"/>
  <c r="L49" i="32"/>
  <c r="N30" i="44"/>
  <c r="O30" i="46" s="1"/>
  <c r="N31" i="44"/>
  <c r="N32" i="44" s="1"/>
  <c r="N33" i="44"/>
  <c r="G30" i="44"/>
  <c r="H30" i="46" s="1"/>
  <c r="G33" i="44"/>
  <c r="G31" i="44"/>
  <c r="G32" i="44" s="1"/>
  <c r="D30" i="44"/>
  <c r="E30" i="46" s="1"/>
  <c r="D33" i="44"/>
  <c r="D31" i="44"/>
  <c r="D32" i="44" s="1"/>
  <c r="K30" i="44"/>
  <c r="L30" i="46" s="1"/>
  <c r="K31" i="44"/>
  <c r="K32" i="44" s="1"/>
  <c r="K33" i="44"/>
  <c r="E30" i="44"/>
  <c r="F30" i="46" s="1"/>
  <c r="E31" i="44"/>
  <c r="E32" i="44" s="1"/>
  <c r="E33" i="44"/>
  <c r="H30" i="44"/>
  <c r="I30" i="46" s="1"/>
  <c r="H31" i="44"/>
  <c r="H32" i="44" s="1"/>
  <c r="H33" i="44"/>
  <c r="E23" i="32"/>
  <c r="E24" i="36" s="1"/>
  <c r="E23" i="36"/>
  <c r="E42" i="36"/>
  <c r="E43" i="32"/>
  <c r="E45" i="38"/>
  <c r="M71" i="32"/>
  <c r="G41" i="32"/>
  <c r="G42" i="36" s="1"/>
  <c r="D50" i="44"/>
  <c r="D52" i="44" s="1"/>
  <c r="F42" i="38"/>
  <c r="N43" i="32"/>
  <c r="O41" i="32"/>
  <c r="G42" i="38" s="1"/>
  <c r="U90" i="32"/>
  <c r="U87" i="32"/>
  <c r="E58" i="44"/>
  <c r="E59" i="44" s="1"/>
  <c r="E53" i="44"/>
  <c r="F23" i="36"/>
  <c r="F23" i="32"/>
  <c r="F24" i="36" s="1"/>
  <c r="O39" i="32"/>
  <c r="G40" i="38" s="1"/>
  <c r="G39" i="38"/>
  <c r="N69" i="32"/>
  <c r="F40" i="38"/>
  <c r="D86" i="32"/>
  <c r="D44" i="32"/>
  <c r="G43" i="32"/>
  <c r="D44" i="36"/>
  <c r="P52" i="44"/>
  <c r="Q52" i="44" s="1"/>
  <c r="Q53" i="44" s="1"/>
  <c r="D16" i="34"/>
  <c r="D70" i="32"/>
  <c r="P32" i="44"/>
  <c r="D24" i="36"/>
  <c r="G23" i="38"/>
  <c r="O23" i="32"/>
  <c r="G24" i="38" s="1"/>
  <c r="E22" i="36"/>
  <c r="E67" i="32"/>
  <c r="V23" i="32"/>
  <c r="G24" i="37" s="1"/>
  <c r="G23" i="37"/>
  <c r="D44" i="37"/>
  <c r="V43" i="32"/>
  <c r="S86" i="32"/>
  <c r="D17" i="34"/>
  <c r="S44" i="32"/>
  <c r="S70" i="32"/>
  <c r="M90" i="32"/>
  <c r="M87" i="32"/>
  <c r="I50" i="44"/>
  <c r="I52" i="44" s="1"/>
  <c r="M50" i="44"/>
  <c r="M52" i="44" s="1"/>
  <c r="F50" i="44"/>
  <c r="F52" i="44" s="1"/>
  <c r="H50" i="44"/>
  <c r="H52" i="44" s="1"/>
  <c r="J50" i="44"/>
  <c r="J52" i="44" s="1"/>
  <c r="L50" i="44"/>
  <c r="L52" i="44" s="1"/>
  <c r="N50" i="44"/>
  <c r="N52" i="44" s="1"/>
  <c r="L58" i="44" l="1"/>
  <c r="L59" i="44" s="1"/>
  <c r="L53" i="44"/>
  <c r="M58" i="44"/>
  <c r="M59" i="44" s="1"/>
  <c r="M53" i="44"/>
  <c r="V44" i="32"/>
  <c r="G45" i="37" s="1"/>
  <c r="G17" i="34"/>
  <c r="G44" i="37"/>
  <c r="N58" i="44"/>
  <c r="N59" i="44" s="1"/>
  <c r="N53" i="44"/>
  <c r="J58" i="44"/>
  <c r="J59" i="44" s="1"/>
  <c r="J53" i="44"/>
  <c r="F58" i="44"/>
  <c r="F59" i="44" s="1"/>
  <c r="F53" i="44"/>
  <c r="I58" i="44"/>
  <c r="I59" i="44" s="1"/>
  <c r="I53" i="44"/>
  <c r="M91" i="32"/>
  <c r="M50" i="32" s="1"/>
  <c r="E51" i="38" s="1"/>
  <c r="M49" i="32"/>
  <c r="D45" i="37"/>
  <c r="S71" i="32"/>
  <c r="S90" i="32"/>
  <c r="V86" i="32"/>
  <c r="V87" i="32" s="1"/>
  <c r="S87" i="32"/>
  <c r="P53" i="44"/>
  <c r="D45" i="36"/>
  <c r="D71" i="32"/>
  <c r="T90" i="32"/>
  <c r="T87" i="32"/>
  <c r="H58" i="44"/>
  <c r="H59" i="44" s="1"/>
  <c r="H53" i="44"/>
  <c r="G44" i="32"/>
  <c r="G45" i="36" s="1"/>
  <c r="G44" i="36"/>
  <c r="G16" i="34"/>
  <c r="D90" i="32"/>
  <c r="D87" i="32"/>
  <c r="U49" i="32"/>
  <c r="U91" i="32"/>
  <c r="U50" i="32" s="1"/>
  <c r="F51" i="37" s="1"/>
  <c r="F44" i="38"/>
  <c r="N44" i="32"/>
  <c r="N86" i="32"/>
  <c r="F15" i="34"/>
  <c r="N70" i="32"/>
  <c r="O43" i="32"/>
  <c r="D53" i="44"/>
  <c r="D58" i="44"/>
  <c r="D59" i="44" s="1"/>
  <c r="E44" i="32"/>
  <c r="E86" i="32"/>
  <c r="E44" i="36"/>
  <c r="E16" i="34"/>
  <c r="E70" i="32"/>
  <c r="D50" i="38"/>
  <c r="D19" i="34"/>
  <c r="E45" i="37"/>
  <c r="T71" i="32"/>
  <c r="F44" i="32"/>
  <c r="F44" i="36"/>
  <c r="F86" i="32"/>
  <c r="F16" i="34"/>
  <c r="F70" i="32"/>
  <c r="G23" i="36"/>
  <c r="G23" i="32"/>
  <c r="G24" i="36" s="1"/>
  <c r="G86" i="32" l="1"/>
  <c r="G87" i="32" s="1"/>
  <c r="F90" i="32"/>
  <c r="F87" i="32"/>
  <c r="F45" i="36"/>
  <c r="F71" i="32"/>
  <c r="E90" i="32"/>
  <c r="E87" i="32"/>
  <c r="G44" i="38"/>
  <c r="G15" i="34"/>
  <c r="O44" i="32"/>
  <c r="G45" i="38" s="1"/>
  <c r="F45" i="38"/>
  <c r="N71" i="32"/>
  <c r="D91" i="32"/>
  <c r="D50" i="32" s="1"/>
  <c r="D49" i="32"/>
  <c r="G90" i="32"/>
  <c r="E50" i="38"/>
  <c r="E19" i="34"/>
  <c r="E45" i="36"/>
  <c r="E71" i="32"/>
  <c r="N87" i="32"/>
  <c r="N90" i="32"/>
  <c r="O86" i="32"/>
  <c r="O87" i="32" s="1"/>
  <c r="F50" i="37"/>
  <c r="F21" i="34"/>
  <c r="T91" i="32"/>
  <c r="T50" i="32" s="1"/>
  <c r="E51" i="37" s="1"/>
  <c r="T49" i="32"/>
  <c r="S49" i="32"/>
  <c r="V90" i="32"/>
  <c r="S91" i="32"/>
  <c r="S50" i="32" s="1"/>
  <c r="D51" i="37" s="1"/>
  <c r="V91" i="32" l="1"/>
  <c r="V50" i="32" s="1"/>
  <c r="G51" i="37" s="1"/>
  <c r="V49" i="32"/>
  <c r="E21" i="34"/>
  <c r="E50" i="37"/>
  <c r="D50" i="36"/>
  <c r="P58" i="44"/>
  <c r="Q58" i="44" s="1"/>
  <c r="Q59" i="44" s="1"/>
  <c r="D20" i="34"/>
  <c r="E49" i="32"/>
  <c r="E91" i="32"/>
  <c r="E50" i="32" s="1"/>
  <c r="E51" i="36" s="1"/>
  <c r="F49" i="32"/>
  <c r="F91" i="32"/>
  <c r="F50" i="32" s="1"/>
  <c r="F51" i="36" s="1"/>
  <c r="D50" i="37"/>
  <c r="D21" i="34"/>
  <c r="N91" i="32"/>
  <c r="N50" i="32" s="1"/>
  <c r="F51" i="38" s="1"/>
  <c r="N49" i="32"/>
  <c r="O90" i="32"/>
  <c r="G49" i="32"/>
  <c r="G91" i="32"/>
  <c r="G50" i="32" s="1"/>
  <c r="G51" i="36" s="1"/>
  <c r="P59" i="44"/>
  <c r="D51" i="36"/>
  <c r="G50" i="36" l="1"/>
  <c r="G20" i="34"/>
  <c r="C23" i="34" s="1"/>
  <c r="F50" i="38"/>
  <c r="F19" i="34"/>
  <c r="O91" i="32"/>
  <c r="O50" i="32" s="1"/>
  <c r="G51" i="38" s="1"/>
  <c r="O49" i="32"/>
  <c r="F50" i="36"/>
  <c r="F20" i="34"/>
  <c r="E50" i="36"/>
  <c r="E20" i="34"/>
  <c r="G50" i="37"/>
  <c r="G21" i="34"/>
  <c r="E24" i="34" s="1"/>
  <c r="G50" i="38" l="1"/>
  <c r="G19" i="34"/>
  <c r="C24"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Morcom</author>
  </authors>
  <commentList>
    <comment ref="B9" authorId="0" shapeId="0" xr:uid="{00000000-0006-0000-0200-000001000000}">
      <text>
        <r>
          <rPr>
            <sz val="8"/>
            <color indexed="81"/>
            <rFont val="Tahoma"/>
            <family val="2"/>
          </rPr>
          <t>This section reviews the current performance of your business for a full year period. It is designed to assess the level of expenses that vary with your sales (Variable Costs) and those that don't (Fixed Costs).  It also allocates a realistic labor cost for the owners effort.  The focus is on cash flow excluding assets and  taxation.  Broad expense categories are provided.  Values can be based on the previous years tax return adjusted for current trading.  Inputs do not have to be perfect but should reasonably reflect business operation. It forms the starting point for your budget. If you are building a budget for a new business or product input estimated base Revenue, Cost of Sales and Overhead data. To estimate your Base data annualize your expected trading for the first month (multiply it by 12). This will provide a reference point. Ensure your Variable Cost ratios are reasonable and the Fixed Costs reflect a full years trading.</t>
        </r>
      </text>
    </comment>
    <comment ref="C11" authorId="0" shapeId="0" xr:uid="{00000000-0006-0000-0200-000002000000}">
      <text>
        <r>
          <rPr>
            <sz val="8"/>
            <color indexed="81"/>
            <rFont val="Tahoma"/>
            <family val="2"/>
          </rPr>
          <t>Input a name for the business. This appears as an identifier on the Output Sheets.</t>
        </r>
      </text>
    </comment>
    <comment ref="C13" authorId="0" shapeId="0" xr:uid="{00000000-0006-0000-0200-000003000000}">
      <text>
        <r>
          <rPr>
            <sz val="8"/>
            <color indexed="81"/>
            <rFont val="Tahoma"/>
            <family val="2"/>
          </rPr>
          <t>Input the Revenue generated by the business for the current year.</t>
        </r>
      </text>
    </comment>
    <comment ref="C15" authorId="0" shapeId="0" xr:uid="{00000000-0006-0000-0200-000004000000}">
      <text>
        <r>
          <rPr>
            <sz val="8"/>
            <color indexed="81"/>
            <rFont val="Tahoma"/>
            <family val="2"/>
          </rPr>
          <t>Select your Expense input as Monetary or Percent. This allows you to input your Expenses directly in Monetary (Dollars, Pounds etc) or Percentage terms.</t>
        </r>
      </text>
    </comment>
    <comment ref="C16" authorId="0" shapeId="0" xr:uid="{00000000-0006-0000-0200-000005000000}">
      <text>
        <r>
          <rPr>
            <sz val="8"/>
            <color indexed="81"/>
            <rFont val="Tahoma"/>
            <family val="2"/>
          </rPr>
          <t>Variable Costs vary with the volume of product or service you provide.  Only include these costs in this section and allocate them into one of the six categories.</t>
        </r>
      </text>
    </comment>
    <comment ref="C17" authorId="0" shapeId="0" xr:uid="{00000000-0006-0000-0200-000006000000}">
      <text>
        <r>
          <rPr>
            <sz val="8"/>
            <color indexed="81"/>
            <rFont val="Tahoma"/>
            <family val="2"/>
          </rPr>
          <t>Input the annual variable expense for materials and supplies directly related to producing your product or providing your service.</t>
        </r>
      </text>
    </comment>
    <comment ref="C18" authorId="0" shapeId="0" xr:uid="{00000000-0006-0000-0200-000007000000}">
      <text>
        <r>
          <rPr>
            <sz val="8"/>
            <color indexed="81"/>
            <rFont val="Tahoma"/>
            <family val="2"/>
          </rPr>
          <t>Input the annual variable expense for labor (excluding the owner) directly related to producing your product or providing your service.  Labor expenses should include all associated on-costs and benefits.</t>
        </r>
      </text>
    </comment>
    <comment ref="C19" authorId="0" shapeId="0" xr:uid="{00000000-0006-0000-0200-000008000000}">
      <text>
        <r>
          <rPr>
            <sz val="8"/>
            <color indexed="81"/>
            <rFont val="Tahoma"/>
            <family val="2"/>
          </rPr>
          <t>Input the annual value of labor provided by the owner that is directly related to producing your product or providing your service.  This variable expense should reflect the effective labor effort and can be estimated as the cost of an employee who could replace the owner.  Labor expenses should include all associated on-costs and benefits.</t>
        </r>
      </text>
    </comment>
    <comment ref="C20" authorId="0" shapeId="0" xr:uid="{00000000-0006-0000-0200-000009000000}">
      <text>
        <r>
          <rPr>
            <sz val="8"/>
            <color indexed="81"/>
            <rFont val="Tahoma"/>
            <family val="2"/>
          </rPr>
          <t>Input the annual variable expense for distribution of your product or service.  This may include freight costs, packaging, and vehicle running costs.</t>
        </r>
      </text>
    </comment>
    <comment ref="C21" authorId="0" shapeId="0" xr:uid="{00000000-0006-0000-0200-00000A000000}">
      <text>
        <r>
          <rPr>
            <sz val="8"/>
            <color indexed="81"/>
            <rFont val="Tahoma"/>
            <family val="2"/>
          </rPr>
          <t>Input the annual variable expense for marketing.  Include advertising, promotional publications, sponsorships, client functions, and any marketing or sales expense. Marketing is not essentially a variable expense, however it is assumed that marketing does influence the level of sales and a relationship exists between the level of marketing and the level of sales.  It is on this basis that it forms a component of variable costs.</t>
        </r>
      </text>
    </comment>
    <comment ref="C22" authorId="0" shapeId="0" xr:uid="{00000000-0006-0000-0200-00000B000000}">
      <text>
        <r>
          <rPr>
            <sz val="8"/>
            <color indexed="81"/>
            <rFont val="Tahoma"/>
            <family val="2"/>
          </rPr>
          <t>Input any annual variable expenses not already accounted for.</t>
        </r>
      </text>
    </comment>
    <comment ref="C23" authorId="0" shapeId="0" xr:uid="{00000000-0006-0000-0200-00000C000000}">
      <text>
        <r>
          <rPr>
            <sz val="8"/>
            <color indexed="81"/>
            <rFont val="Tahoma"/>
            <family val="2"/>
          </rPr>
          <t>This is the sum of the variable expenses. It is expressed as a monetary value and as a percentage of revenue.</t>
        </r>
      </text>
    </comment>
    <comment ref="C24" authorId="0" shapeId="0" xr:uid="{00000000-0006-0000-0200-00000D000000}">
      <text>
        <r>
          <rPr>
            <sz val="8"/>
            <color indexed="81"/>
            <rFont val="Tahoma"/>
            <family val="2"/>
          </rPr>
          <t>Overheads (O/H) are expenses which remain constant (up to a point) while the volume of sales vary.  Only include these costs in this section and allocate them into one of the six categories.</t>
        </r>
      </text>
    </comment>
    <comment ref="C25" authorId="0" shapeId="0" xr:uid="{00000000-0006-0000-0200-00000E000000}">
      <text>
        <r>
          <rPr>
            <sz val="8"/>
            <color indexed="81"/>
            <rFont val="Tahoma"/>
            <family val="2"/>
          </rPr>
          <t>Input the annual fixed location expense.  Include rent, power and light, maintenance, building insurance, security, and cleaning.  If you own the property do not include purchase or finance costs.</t>
        </r>
      </text>
    </comment>
    <comment ref="C26" authorId="0" shapeId="0" xr:uid="{00000000-0006-0000-0200-00000F000000}">
      <text>
        <r>
          <rPr>
            <sz val="8"/>
            <color indexed="81"/>
            <rFont val="Tahoma"/>
            <family val="2"/>
          </rPr>
          <t>Input the annual  fixed administration expense.   Include office phone, equipment rental costs, and stationary.</t>
        </r>
      </text>
    </comment>
    <comment ref="C27" authorId="0" shapeId="0" xr:uid="{00000000-0006-0000-0200-000010000000}">
      <text>
        <r>
          <rPr>
            <sz val="8"/>
            <color indexed="81"/>
            <rFont val="Tahoma"/>
            <family val="2"/>
          </rPr>
          <t>Input the annual  fixed labor expense (excluding owner).  This should include any labor expense not already accounted for in variable costs.  Labor expenses should include all associated on-costs and benefits.</t>
        </r>
      </text>
    </comment>
    <comment ref="C28" authorId="0" shapeId="0" xr:uid="{00000000-0006-0000-0200-000011000000}">
      <text>
        <r>
          <rPr>
            <sz val="8"/>
            <color indexed="81"/>
            <rFont val="Tahoma"/>
            <family val="2"/>
          </rPr>
          <t>Input the annual value of fixed labor provided by the owner.  This should include the value of any labor which has not already been accounted for in variable costs.  This fixed expense should reflect the effective labor effort and can be estimated as the cost of an employee who could replace the owner.  Labor expenses should include all associated on-costs and benefits.</t>
        </r>
      </text>
    </comment>
    <comment ref="C29" authorId="0" shapeId="0" xr:uid="{00000000-0006-0000-0200-000012000000}">
      <text>
        <r>
          <rPr>
            <sz val="8"/>
            <color indexed="81"/>
            <rFont val="Tahoma"/>
            <family val="2"/>
          </rPr>
          <t>Input the annual fixed Interest Cost.  Include only the interest component of loan repayments.  Principle components reflect assets.</t>
        </r>
      </text>
    </comment>
    <comment ref="C30" authorId="0" shapeId="0" xr:uid="{00000000-0006-0000-0200-000013000000}">
      <text>
        <r>
          <rPr>
            <sz val="8"/>
            <color indexed="81"/>
            <rFont val="Tahoma"/>
            <family val="2"/>
          </rPr>
          <t>Input any annual fixed expenses not already accounted for.</t>
        </r>
      </text>
    </comment>
    <comment ref="C31" authorId="0" shapeId="0" xr:uid="{00000000-0006-0000-0200-000014000000}">
      <text>
        <r>
          <rPr>
            <sz val="8"/>
            <color indexed="81"/>
            <rFont val="Tahoma"/>
            <family val="2"/>
          </rPr>
          <t>This is the sum of fixed expenses. It is expressed as a monetary value and as a percentage of revenue.</t>
        </r>
      </text>
    </comment>
    <comment ref="C32" authorId="0" shapeId="0" xr:uid="{00000000-0006-0000-0200-000015000000}">
      <text>
        <r>
          <rPr>
            <sz val="8"/>
            <color indexed="81"/>
            <rFont val="Tahoma"/>
            <family val="2"/>
          </rPr>
          <t>Operating Surplus reflects the before tax operating profit/loss of the business for the full years trading. It is calculated as the Revenue less Total Variable Costs less Total Fixed Costs. It excludes asset investment. Assets include property, equipment, and capital reinvestment in the business. The Operating Surplus represents the day to day (short term) business performance.</t>
        </r>
      </text>
    </comment>
    <comment ref="C33" authorId="0" shapeId="0" xr:uid="{00000000-0006-0000-0200-000016000000}">
      <text>
        <r>
          <rPr>
            <sz val="8"/>
            <color indexed="81"/>
            <rFont val="Tahoma"/>
            <family val="2"/>
          </rPr>
          <t>Owner Cash Flow is the Operating Surplus plus the value of any Labor provided by the Owner. If the owner provides no labor for the business Owner Cash flow and Operating Surplus will be equal.</t>
        </r>
      </text>
    </comment>
    <comment ref="B36" authorId="0" shapeId="0" xr:uid="{00000000-0006-0000-0200-000017000000}">
      <text>
        <r>
          <rPr>
            <sz val="8"/>
            <color indexed="81"/>
            <rFont val="Tahoma"/>
            <family val="2"/>
          </rPr>
          <t>This section considers factors that influence future business performance.  A relative indicator is used to reflect unit changes in these factors.   The base year relative indicator for each factor is defined as 100%.  Relative indicators for each of the next three years are applied to reflect likely changes in the unit cost or strength of the factor.  Each indicator is relative to the prior year.  A 10% increase from the previous year is reflected by a relative indicator of 110%.  A 10% decrease from the previous year is reflected by a relative indicator of 90%.  Relative indicators for costs reflect changes in the base unit of the expense such as labor costs per hour or material costs per unit.</t>
        </r>
      </text>
    </comment>
    <comment ref="C38" authorId="0" shapeId="0" xr:uid="{00000000-0006-0000-0200-000018000000}">
      <text>
        <r>
          <rPr>
            <sz val="8"/>
            <color indexed="81"/>
            <rFont val="Tahoma"/>
            <family val="2"/>
          </rPr>
          <t>Relative Indicators are required for each factor for Years 1 to 3. If there is no change from the previous year the Relative Indicator is 100%. You have provided Revenue and Cost details for the Current Year.  Year 1 is the year following the Current Year, Year 2 follows Year 1, and Year 3 follows Year 2.</t>
        </r>
      </text>
    </comment>
    <comment ref="C39" authorId="0" shapeId="0" xr:uid="{00000000-0006-0000-0200-000019000000}">
      <text>
        <r>
          <rPr>
            <sz val="8"/>
            <color indexed="81"/>
            <rFont val="Tahoma"/>
            <family val="2"/>
          </rPr>
          <t>Input the percentage relative indicator to reflect the level of change from the previous year.  Consider the number of competitors, competitor strategies, potential new entrants.  This indicator has an inverse relationship to forecast Business Revenue.  All things being equal as the level of competition increases Business Revenue decreases.</t>
        </r>
      </text>
    </comment>
    <comment ref="C40" authorId="0" shapeId="0" xr:uid="{00000000-0006-0000-0200-00001A000000}">
      <text>
        <r>
          <rPr>
            <sz val="8"/>
            <color indexed="81"/>
            <rFont val="Tahoma"/>
            <family val="2"/>
          </rPr>
          <t>Input the percentage relative indicator to reflect the level of change from the previous year.  Consider market growth, technology &amp; regulatory impacts and customer needs.  Market strength is an indicator of the demand for the type of product or service you provide. This indicator has a direct relationship to forecast Business Revenue.  All things being equal as market strength increases Business Revenue increases.</t>
        </r>
      </text>
    </comment>
    <comment ref="C41" authorId="0" shapeId="0" xr:uid="{00000000-0006-0000-0200-00001B000000}">
      <text>
        <r>
          <rPr>
            <sz val="8"/>
            <color indexed="81"/>
            <rFont val="Tahoma"/>
            <family val="2"/>
          </rPr>
          <t>Input the percentage relative indicator to reflect the level of change from the previous year.  Consider the potential changes in supplier pricing, sources of supply, your bargaining power, demand for materials, and possible alternative materials.  This indicator has a direct relationship to forecast Materials &amp; Supplies expenses.  All things being equal as the unit cost of materials and supplies increases this variable expense increases.</t>
        </r>
      </text>
    </comment>
    <comment ref="C42" authorId="0" shapeId="0" xr:uid="{00000000-0006-0000-0200-00001C000000}">
      <text>
        <r>
          <rPr>
            <sz val="8"/>
            <color indexed="81"/>
            <rFont val="Tahoma"/>
            <family val="2"/>
          </rPr>
          <t>Input the percentage relative indicator to reflect the level of change from the previous year.  Consider market forces and availability of skilled staff.  This indicator has a direct relationship to forecast variable and fixed Labor excluding Owner, and Labor Owner expenses.  All things being equal as the unit labor costs increase these labor expenses increase.</t>
        </r>
      </text>
    </comment>
    <comment ref="C43" authorId="0" shapeId="0" xr:uid="{00000000-0006-0000-0200-00001D000000}">
      <text>
        <r>
          <rPr>
            <sz val="8"/>
            <color indexed="81"/>
            <rFont val="Tahoma"/>
            <family val="2"/>
          </rPr>
          <t>Input the percentage relative indicator to reflect the level of change from the previous year.  This is percentage change not actual values.  For a current interest rate of 6% a relative indicator of 110% in Year 1 equates to 6.6%, a relative indicator of 110% in Year 2 takes this to 7.26%.  This indicator has a direct relationship to forecast Interest expenses.  All things being equal as interest rates increase this fixed expense increases.</t>
        </r>
      </text>
    </comment>
    <comment ref="C44" authorId="0" shapeId="0" xr:uid="{00000000-0006-0000-0200-00001E000000}">
      <text>
        <r>
          <rPr>
            <sz val="8"/>
            <color indexed="81"/>
            <rFont val="Tahoma"/>
            <family val="2"/>
          </rPr>
          <t>Input the percentage relative indicator to reflect the level of change from the previous year.  Consider your position in the market, and the impact of your current actions. This is a measure of your standing relative to the competition as perceived by potential consumers. If things will remain much the same input 100%, indicating no change over the previous year.  If you have actions to improve the position of your business by 10% then the input would be 110%. This indicator has a direct relationship to forecast Business Revenue. All thing being equal as market position increases Business Revenue increases.  Actions contributing to the business position must be substantiated and implemented to have an impact.  You can use the Decision Assistant Model to value your actions and determine their business impact, this is available from the bizpeponline.com web site.</t>
        </r>
      </text>
    </comment>
    <comment ref="C45" authorId="0" shapeId="0" xr:uid="{00000000-0006-0000-0200-00001F000000}">
      <text>
        <r>
          <rPr>
            <sz val="8"/>
            <color indexed="81"/>
            <rFont val="Tahoma"/>
            <family val="2"/>
          </rPr>
          <t>Input the percentage relative indicator to reflect the level of change from the previous year.  This should reflect changes in the relationship between your variable costs and revenue.   If you have actions to improve your variable cost efficiency (decrease variable costs) by 10% over the previous year input 110%.  Consider changes in processes, distribution or the materials used.  This indicator has an inverse relationship to forecast variable costs Materials &amp; Supplies, Labor excluding Owner, Labor Owner, Distribution, Marketing and Other expenses. All things being equal as variable cost efficiency increases less materials, labor, distribution and marketing resources are required resulting in a decrease in these expenses.   Actions must be substantiated and implemented to have an impact.   You can use the Decision Assistant Model to value your actions and determine their business impact, this is available from the bizpeponline.com web site.</t>
        </r>
      </text>
    </comment>
    <comment ref="C46" authorId="0" shapeId="0" xr:uid="{00000000-0006-0000-0200-000020000000}">
      <text>
        <r>
          <rPr>
            <sz val="8"/>
            <color indexed="81"/>
            <rFont val="Tahoma"/>
            <family val="2"/>
          </rPr>
          <t>Input the percentage relative indicator to reflect the level of change from the previous year.  Consider changes in administration processes and fixed labor requirements.  This indicator has an inverse relationship to forecast fixed Administration, Labor excluding Owner, Labor Owner, and Other expenses.   All things being equal as fixed cost efficiency increases less administration and labor resources are required resulting in a decrease in these expenses.  It does not apply to Location and Finance expenses.   Actions contributing to the business position must be substantiated and implemented to have an impact.  You can use the Decision Assistant Model to value your actions and determine their business impact, this is available from the bizpeponline.com web site.</t>
        </r>
      </text>
    </comment>
    <comment ref="C48" authorId="0" shapeId="0" xr:uid="{00000000-0006-0000-0200-000021000000}">
      <text>
        <r>
          <rPr>
            <sz val="8"/>
            <color indexed="81"/>
            <rFont val="Tahoma"/>
            <family val="2"/>
          </rPr>
          <t>Input the percentage Fixed Cost Flow-on.  This indicates the estimated level of fixed cost adjustments to support revenue variations.  Fixed costs are generally considered a constant expense, however large sustained revenue variations place pressure on fixed costs and usually result in an increased fixed cost expense.  This may include larger floor area, more administration costs, or higher financing.  The Fixed Cost Flow-on percentage is the amount of increase in fixed cost expense for a 100% increase in revenue.  A Fixed Cost Flow-on of 20% reflects a 20% increase in fixed cost expense for every 100% increase in revenue. If you own your property only the Interest Costs of the financed amount will be adjusted by the Fixed Cost Flow-on. This indicator has a direct relationship to all forecast Fixed Cost expenses.  All things being equal as the Fixed Cost Flow-on increases the fixed cost expense relative the revenue will increase.</t>
        </r>
      </text>
    </comment>
    <comment ref="C50" authorId="0" shapeId="0" xr:uid="{00000000-0006-0000-0200-000022000000}">
      <text>
        <r>
          <rPr>
            <sz val="8"/>
            <color indexed="81"/>
            <rFont val="Tahoma"/>
            <family val="2"/>
          </rPr>
          <t>Input the percentage of work time the owner commits to the business.  This indicates the available amount of owner resource.  Available resource will be applied to any forecast labor increase in fixed then variable costs where the owner currently contributes.</t>
        </r>
      </text>
    </comment>
    <comment ref="C51" authorId="0" shapeId="0" xr:uid="{00000000-0006-0000-0200-000023000000}">
      <text>
        <r>
          <rPr>
            <sz val="8"/>
            <color indexed="81"/>
            <rFont val="Tahoma"/>
            <family val="2"/>
          </rPr>
          <t>Input the replacement value of physical business assets.  Exclude property.  Consider vehicles, plant, and equipment. Annual replacement costs for these business assets are calculated as the Replacement Value  divided by the Asset Life. This provides for constant reinvestment to maintain the business. Property (Real Estate) is treated as a constant, depreciation and capital gain are assumed to balance each other out.</t>
        </r>
      </text>
    </comment>
    <comment ref="C52" authorId="0" shapeId="0" xr:uid="{00000000-0006-0000-0200-000024000000}">
      <text>
        <r>
          <rPr>
            <sz val="8"/>
            <color indexed="81"/>
            <rFont val="Tahoma"/>
            <family val="2"/>
          </rPr>
          <t>Input the average life of the assets.  The Replacement Value of Business Assets will be divided by the Life of Assets to provide an indication of annual asset Depreciation Allowance.  This will be used in determining the Business Return.</t>
        </r>
      </text>
    </comment>
    <comment ref="B57" authorId="0" shapeId="0" xr:uid="{00000000-0006-0000-0200-000025000000}">
      <text>
        <r>
          <rPr>
            <sz val="8"/>
            <color indexed="81"/>
            <rFont val="Tahoma"/>
            <family val="2"/>
          </rPr>
          <t>Sensitivity Analysis allows you to adjust your Relative Indicators by a set percentage to generate Optimistic and Pessimistic Forecasts.</t>
        </r>
      </text>
    </comment>
    <comment ref="B58" authorId="0" shapeId="0" xr:uid="{00000000-0006-0000-0200-000026000000}">
      <text>
        <r>
          <rPr>
            <sz val="8"/>
            <color indexed="81"/>
            <rFont val="Tahoma"/>
            <family val="2"/>
          </rPr>
          <t>Full tabular results for your Expected Forecast.</t>
        </r>
      </text>
    </comment>
    <comment ref="B59" authorId="0" shapeId="0" xr:uid="{00000000-0006-0000-0200-000027000000}">
      <text>
        <r>
          <rPr>
            <sz val="8"/>
            <color indexed="81"/>
            <rFont val="Tahoma"/>
            <family val="2"/>
          </rPr>
          <t>Full tabular results for your Optimistic Forecast.</t>
        </r>
      </text>
    </comment>
    <comment ref="B60" authorId="0" shapeId="0" xr:uid="{00000000-0006-0000-0200-000028000000}">
      <text>
        <r>
          <rPr>
            <sz val="8"/>
            <color indexed="81"/>
            <rFont val="Tahoma"/>
            <family val="2"/>
          </rPr>
          <t>Full tabular results for your Optimistic Forecast.</t>
        </r>
      </text>
    </comment>
    <comment ref="B61" authorId="0" shapeId="0" xr:uid="{00000000-0006-0000-0200-000029000000}">
      <text>
        <r>
          <rPr>
            <sz val="8"/>
            <color indexed="81"/>
            <rFont val="Tahoma"/>
            <family val="2"/>
          </rPr>
          <t>3 Year Forecast Revenue Chart; Optimistic, Expected, and Pessimistic.</t>
        </r>
      </text>
    </comment>
    <comment ref="B62" authorId="0" shapeId="0" xr:uid="{00000000-0006-0000-0200-00002A000000}">
      <text>
        <r>
          <rPr>
            <sz val="8"/>
            <color indexed="81"/>
            <rFont val="Tahoma"/>
            <family val="2"/>
          </rPr>
          <t>3 Year Forecast Operating Surplus Chart; Optimistic, Expected, and Pessimistic.</t>
        </r>
      </text>
    </comment>
    <comment ref="B63" authorId="0" shapeId="0" xr:uid="{00000000-0006-0000-0200-00002B000000}">
      <text>
        <r>
          <rPr>
            <sz val="8"/>
            <color indexed="81"/>
            <rFont val="Tahoma"/>
            <family val="2"/>
          </rPr>
          <t>3 Year Forecast Return Chart; Optimistic, Expected, and Pessimistic. Return is the Operating Surplus less the Depreciation Allowance.</t>
        </r>
      </text>
    </comment>
    <comment ref="B64" authorId="0" shapeId="0" xr:uid="{00000000-0006-0000-0200-00002C000000}">
      <text>
        <r>
          <rPr>
            <sz val="8"/>
            <color indexed="81"/>
            <rFont val="Tahoma"/>
            <family val="2"/>
          </rPr>
          <t>3 Year Expected Operating Surplus Chart including Variable and Fixed Costs.</t>
        </r>
      </text>
    </comment>
    <comment ref="B65" authorId="0" shapeId="0" xr:uid="{00000000-0006-0000-0200-00002D000000}">
      <text>
        <r>
          <rPr>
            <sz val="8"/>
            <color indexed="81"/>
            <rFont val="Tahoma"/>
            <family val="2"/>
          </rPr>
          <t xml:space="preserve">Input the month to start your budget and revenue percentages for each month to build your master budget.
</t>
        </r>
      </text>
    </comment>
    <comment ref="B66" authorId="0" shapeId="0" xr:uid="{00000000-0006-0000-0200-00002E000000}">
      <text>
        <r>
          <rPr>
            <sz val="8"/>
            <color indexed="81"/>
            <rFont val="Tahoma"/>
            <family val="2"/>
          </rPr>
          <t>View Revenue, Operating Surplus, and Business Return for Year 1 as built by the Budget by Month Master.</t>
        </r>
      </text>
    </comment>
    <comment ref="B67" authorId="0" shapeId="0" xr:uid="{00000000-0006-0000-0200-00002F000000}">
      <text>
        <r>
          <rPr>
            <sz val="8"/>
            <color indexed="81"/>
            <rFont val="Tahoma"/>
            <family val="2"/>
          </rPr>
          <t>Here you can refine, modify, or rebuild your budget. You can update sections with data from the Budget by Month Master or input your own data.</t>
        </r>
      </text>
    </comment>
    <comment ref="B68" authorId="0" shapeId="0" xr:uid="{00000000-0006-0000-0200-000030000000}">
      <text>
        <r>
          <rPr>
            <sz val="8"/>
            <color indexed="81"/>
            <rFont val="Tahoma"/>
            <family val="2"/>
          </rPr>
          <t>View Revenue, Operating Surplus, and Business Return for as defined in Budget by Month.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Morcom</author>
  </authors>
  <commentList>
    <comment ref="E7" authorId="0" shapeId="0" xr:uid="{00000000-0006-0000-0300-000001000000}">
      <text>
        <r>
          <rPr>
            <sz val="8"/>
            <color indexed="81"/>
            <rFont val="Tahoma"/>
            <family val="2"/>
          </rPr>
          <t>Input the percentage improvement in Relative Indicators to generate an Optimistic Forecast. If you feel it is "reasonably likely" your Relative Indicators may be 20% too low, input 20%.</t>
        </r>
      </text>
    </comment>
    <comment ref="E8" authorId="0" shapeId="0" xr:uid="{00000000-0006-0000-0300-000002000000}">
      <text>
        <r>
          <rPr>
            <sz val="8"/>
            <color indexed="81"/>
            <rFont val="Tahoma"/>
            <family val="2"/>
          </rPr>
          <t>Input the percentage degrade in Relative Indicators to generate a Pessimistic Forecast. If you feel it is "reasonably likely" your Relative Indicators may be 20% too high, input 20%.</t>
        </r>
      </text>
    </comment>
    <comment ref="B10" authorId="0" shapeId="0" xr:uid="{00000000-0006-0000-0300-000003000000}">
      <text>
        <r>
          <rPr>
            <sz val="8"/>
            <color indexed="81"/>
            <rFont val="Tahoma"/>
            <family val="2"/>
          </rPr>
          <t>This is the forecast revenue generated by the business.</t>
        </r>
      </text>
    </comment>
    <comment ref="B11" authorId="0" shapeId="0" xr:uid="{00000000-0006-0000-0300-000004000000}">
      <text>
        <r>
          <rPr>
            <sz val="8"/>
            <color indexed="81"/>
            <rFont val="Tahoma"/>
            <family val="2"/>
          </rPr>
          <t>This is the forecast based on your Optimistic improvement to Relative Indicators.</t>
        </r>
      </text>
    </comment>
    <comment ref="B12" authorId="0" shapeId="0" xr:uid="{00000000-0006-0000-0300-000005000000}">
      <text>
        <r>
          <rPr>
            <sz val="8"/>
            <color indexed="81"/>
            <rFont val="Tahoma"/>
            <family val="2"/>
          </rPr>
          <t>This is the forecast based on the Relative Indicators you provided as input.</t>
        </r>
      </text>
    </comment>
    <comment ref="B13" authorId="0" shapeId="0" xr:uid="{00000000-0006-0000-0300-000006000000}">
      <text>
        <r>
          <rPr>
            <sz val="8"/>
            <color indexed="81"/>
            <rFont val="Tahoma"/>
            <family val="2"/>
          </rPr>
          <t>This is the forecast based on your Pessimistic degradation of Relative Indicators.</t>
        </r>
      </text>
    </comment>
    <comment ref="B14" authorId="0" shapeId="0" xr:uid="{00000000-0006-0000-0300-000007000000}">
      <text>
        <r>
          <rPr>
            <sz val="8"/>
            <color indexed="81"/>
            <rFont val="Tahoma"/>
            <family val="2"/>
          </rPr>
          <t>This is the Revenue less Variable and Fixed Costs. The Operating Surplus represents the day to day (short term) business performance.</t>
        </r>
      </text>
    </comment>
    <comment ref="B18" authorId="0" shapeId="0" xr:uid="{00000000-0006-0000-0300-000008000000}">
      <text>
        <r>
          <rPr>
            <sz val="8"/>
            <color indexed="81"/>
            <rFont val="Tahoma"/>
            <family val="2"/>
          </rPr>
          <t>Business Return is the Operating Surplus less a Depreciation Allowance. A Depreciation Allowance is required for the long term maintenance of the business. It is calculated as the Replacement Value of Business Assets divided by the Asset Lifetime. If the Depreciation Allowance is not reinvested business performance will decrease. The Business Return provides a longer term indicator of business performance.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Morcom</author>
  </authors>
  <commentList>
    <comment ref="B3" authorId="0" shapeId="0" xr:uid="{00000000-0006-0000-0B00-000001000000}">
      <text>
        <r>
          <rPr>
            <sz val="8"/>
            <color indexed="81"/>
            <rFont val="Tahoma"/>
            <family val="2"/>
          </rPr>
          <t>The Budget by Month Master builds a monthly budget for your Year 1 Forecast. This is done by using the Current Year and Year 1 Forecast data. Revenue for the budget year consists of 2 components. Base Revenue, which is the same as the Current Year (no change year on year), and Growth Revenue, which is the difference between Current Year Revenue and Year 1 Forecast Revenue. Base Revenue is allocated to each month according to the Percentage Contributor you input for the month. If all months contribute equal revenue the Percentage Contributor will be 8.3333% (1/12) for all months. This is unlikely as the revenue of most businesses tends to vary due to seasonal influences such as weather, holiday periods, etc. Your Percentage Contributor is used to incorporate these revenue variations. 
Growth Revenue is distributed across the months by considering the Percentage Contributor and the Compounding Growth Affect.  If you secure one new customer a month to generate your Growth Revenue then in month 1 you have Growth Revenue from one new customer, in month 2 you have Growth Revenue from 2 new customers (the customer secured in month 1 and the customer secured in month 2). This Compounding Growth Affect is adjusted by the Percentage Contributor to calculate the amount of Growth Revenue allocated to each month. Imagine the Percentage Contributor for month 2 is half that of month 1 due to seasonal factors halving the number of customers in month 2.  The average number of new customers you could secure in month 2 will also be halved by this downturn in demand resulting in a decrease in the amount of Growth Revenue that can be secured.
Total Revenue for each month is Base plus Growth Revenue.  Variable Cost expenses are calculated as a percentage of Total Revenue based on your Year 1 Forecast. Their actual amount varies with revenue but their percentage remains constant over the year. Fixed Costs and Depreciation Allowance are allocated equally over the months based on your Year 1 Forecast. Their amount remains constant regardless of revenue variations.</t>
        </r>
      </text>
    </comment>
    <comment ref="D6" authorId="0" shapeId="0" xr:uid="{00000000-0006-0000-0B00-000002000000}">
      <text>
        <r>
          <rPr>
            <sz val="8"/>
            <color indexed="81"/>
            <rFont val="Tahoma"/>
            <family val="2"/>
          </rPr>
          <t>Input the first month of your budget year. Following months are calculate as the preceding month plus 31 days.</t>
        </r>
      </text>
    </comment>
    <comment ref="D9" authorId="0" shapeId="0" xr:uid="{00000000-0006-0000-0B00-000003000000}">
      <text>
        <r>
          <rPr>
            <sz val="8"/>
            <color indexed="81"/>
            <rFont val="Tahoma"/>
            <family val="2"/>
          </rPr>
          <t>For the first 11 months of the year input the Percentage Contributor indicating the percentage of annual revenue the month would provide if there was no revenue growth. The percentage for the 12th month of the year is calculated to ensure the annual total is 100%. Use the 12th month percentage as a check on your inputs. The Base Revenue for each month is calculated as the Percentage Contributor multiplied by the Total Base Revenue for the Budget Year.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Morcom</author>
  </authors>
  <commentList>
    <comment ref="C3" authorId="0" shapeId="0" xr:uid="{00000000-0006-0000-0D00-000001000000}">
      <text>
        <r>
          <rPr>
            <sz val="8"/>
            <color indexed="81"/>
            <rFont val="Tahoma"/>
            <family val="2"/>
          </rPr>
          <t>Budget by Month allows you to update all cell data to match the Budget by Month Master when you click an Update All Button; update cell data to Master by row when you click the adjacent Update Button; and change any input within a blue cell by simply overwriting the existing data. This allows you to fully refine your budget and recalculates all percentages and totals based your inputs. Adjusting revenue and expense amounts will change your budget ratios i.e. Variable Cost % etc, beware. If you believe major adjustment is required it is recommended you review and adjust your Input Sheet data to generate an improved Master Budget. You can then refine it here to produce your Budget by Month. When you click an Update Button any existing data in the updated cells is overwritten and can not be recovered. It is replaced with data from the Budget by Month Master.</t>
        </r>
      </text>
    </comment>
  </commentList>
</comments>
</file>

<file path=xl/sharedStrings.xml><?xml version="1.0" encoding="utf-8"?>
<sst xmlns="http://schemas.openxmlformats.org/spreadsheetml/2006/main" count="314" uniqueCount="224">
  <si>
    <t>Overview</t>
  </si>
  <si>
    <t>Input a name for the business. This appears as an identifier on the Output Sheets.</t>
  </si>
  <si>
    <t>Input the Revenue generated by the business for the current year.</t>
  </si>
  <si>
    <t>Select your Expense input as Monetary or Percent. This allows you to input your Expenses directly in Monetary (Dollars, Pounds etc) or Percentage terms.</t>
  </si>
  <si>
    <t>Variable Costs</t>
  </si>
  <si>
    <t>Fixed Costs</t>
  </si>
  <si>
    <t>Total Variable Costs</t>
  </si>
  <si>
    <t>Total Fixed Costs</t>
  </si>
  <si>
    <t>Total Variable Costs and the % of Revenue</t>
  </si>
  <si>
    <t>Total Fixed Costs and the % of Revenue.</t>
  </si>
  <si>
    <t>Variable Cost Efficiency</t>
  </si>
  <si>
    <t>Fixed Cost Efficiency</t>
  </si>
  <si>
    <t>&gt;100=Inc, &lt;100=Dec Variable Efficiency.</t>
  </si>
  <si>
    <t xml:space="preserve">&gt;100=Inc, &lt;100=Dec Fixed Efficiency. </t>
  </si>
  <si>
    <t>Fixed Cost Flow-on</t>
  </si>
  <si>
    <t>The % increase in Fixed Costs for each 100% increase in revenue.</t>
  </si>
  <si>
    <t>This section reviews the current performance of your business for a full year period. It is designed to assess the level of expenses that vary with your sales (Variable Costs) and those that don't (Fixed Costs).  It also allocates a realistic labor cost for the owners effort.  The focus is on cash flow excluding assets and  taxation.  Broad expense categories are provided.  Values can be based on the previous years tax return adjusted for current trading.  Inputs do not have to be perfect but should reasonably reflect business operation. It forms the starting point for your budget. If you are building a budget for a new business or product input estimated base Revenue, Variable Cost and Fixed Cost data. To estimate your Base data annualize your expected trading for the first month (multiply it by 12). This will provide a reference point. Ensure your Variable Cost ratios are reasonable and the Fixed Costs reflect a full years trading.</t>
  </si>
  <si>
    <t>Variable Costs vary with the volume of product or service you provide.  Only include these costs in this section and allocate them into one of the six categories.</t>
  </si>
  <si>
    <t>Input the annual variable expense for materials and supplies directly related to producing your product or providing your service.</t>
  </si>
  <si>
    <t>Input the annual variable expense for labor (excluding the owner) directly related to producing your product or providing your service.  Labor expenses should include all associated on-costs and benefits.</t>
  </si>
  <si>
    <t>Input the annual value of labor provided by the owner that is directly related to producing your product or providing your service.  This variable expense should reflect the effective labor effort and can be estimated as the cost of an employee who could replace the owner.  Labor expenses should include all associated on-costs and benefits.</t>
  </si>
  <si>
    <t>Input the annual variable expense for distribution of your product or service.  This may include freight costs, packaging, and vehicle running costs.</t>
  </si>
  <si>
    <t>Input the annual variable expense for marketing.  Include advertising, promotional publications, sponsorships, client functions, and any marketing or sales expense. Marketing is not essentially a variable expense, however it is assumed that marketing does influence the level of sales and a relationship exists between the level of marketing and the level of sales.  It is on this basis that it forms a component of variable costs.</t>
  </si>
  <si>
    <t>Input any annual variable expenses not already accounted for.</t>
  </si>
  <si>
    <t>This is the sum of the variable expenses. It is expressed as a monetary value and as a percentage of revenue.</t>
  </si>
  <si>
    <t>Fixed Costs are expenses which remain constant (up to a point) while the volume of sales vary.  Only include these costs in this section and allocate them into one of the six categories.</t>
  </si>
  <si>
    <t>Input the annual fixed location expense.  Include rent, power and light, maintenance, building insurance, security, and cleaning.  If you own the property do not include purchase or finance costs.</t>
  </si>
  <si>
    <t>Input the annual fixed administration expense.   Include office phone, equipment rental costs, and stationary.</t>
  </si>
  <si>
    <t>Input the annual fixed labor expense (excluding owner).  This should include any labor expense not already accounted for in variable costs.  Labor expenses should include all associated on-costs and benefits.</t>
  </si>
  <si>
    <t>Input the annual value of fixed labor provided by the owner.  This should include the value of any labor not already accounted for in variable costs.  This fixed expense should reflect the effective labor effort and can be estimated as the cost of an employee who could replace the owner.  Labor expenses should include all associated on-costs and benefits.</t>
  </si>
  <si>
    <t>Input the annual fixed Interest Cost.  Include only the interest component of loan repayments.  Principle components reflect assets.</t>
  </si>
  <si>
    <t>Input any annual fixed cost expenses not already accounted for.</t>
  </si>
  <si>
    <t>This is the sum of the Fixed Cost expenses. It is expressed as a monetary value and as a percentage of revenue.</t>
  </si>
  <si>
    <t>Operating Surplus reflects the before tax operating profit/loss of the business for the full years trading. It is calculated as the Revenue less Total Variable Costs less Total Fixed Costs. It excludes asset investment. Assets include property, equipment, and capital reinvestment in the business. The Operating Surplus represents the day to day (short term) business performance.</t>
  </si>
  <si>
    <t>Input the percentage relative indicator to reflect the level of change from the previous year.  Consider the potential changes in supplier pricing, sources of supply, your bargaining power, demand for materials, and possible alternative materials.  This indicator has a direct relationship to forecast Materials &amp; Supplies expenses.  All things being equal as the unit cost of materials and supplies increases this variable expense increases.</t>
  </si>
  <si>
    <t>Input the percentage relative indicator to reflect the level of change from the previous year.  Consider market forces and availability of skilled staff.  This indicator has a direct relationship to forecast variable and fixed Labor excluding Owner, and Labor Owner expenses.  All things being equal as the unit labor costs increase these labor expenses increase.</t>
  </si>
  <si>
    <t>Input the percentage relative indicator to reflect the level of change from the previous year.  This is percentage change not actual values.  For a current interest rate of 6% a relative indicator of 110% in Year 1 equates to 6.6%, a relative indicator of 110% in Year 2 takes this to 7.26%.  This indicator has a direct relationship to forecast Interest expenses.  All things being equal as interest rates increase this fixed expense increases.</t>
  </si>
  <si>
    <t>Input the percentage Fixed Cost Flow-on.  This indicates the estimated level of fixed cost adjustments to support revenue variations.  Fixed Costs are generally considered a constant expense, however large sustained revenue variations place pressure on fixed costs and usually result in an increased fixed cost expense.  This may include larger floor area, more administration costs, or higher financing.  The Fixed Cost Flow-on percentage is the amount of increase in fixed cost expense for a 100% increase in revenue.  An Fixed Cost Flow-on of 20% reflects a 20% increase in fixed cost expense for every 100% increase in revenue. If you own your property only the Interest Costs of the financed amount will be adjusted by the Fixed Cost Flow-on. This indicator has a direct relationship to all forecast fixed cost expenses.  All things being equal as the Fixed Cost Flow-on increases the fixed cost expense relative the revenue will increase.</t>
  </si>
  <si>
    <t>Input the percentage of work time the owner commits to the business.  This is used to determine the owners return for effort and indicates the available amount of owner resource.  Available resource will be applied to any forecast labor increase in fixed, then variable costs where the owner currently contributes.</t>
  </si>
  <si>
    <t>This is the Revenue less Variable and Fixed costs. The Operating Surplus represents the day to day (short term) business performance.</t>
  </si>
  <si>
    <t>3 Year Expected Operating Surplus Chart including Variable and Fixed costs.</t>
  </si>
  <si>
    <t>Total Revenue for each month is Base plus Growth Revenue.  Variable expenses are calculated as a percentage of Total Revenue based on your Year 1 Forecast. Their actual amount varies with revenue but their percentage remains constant over the year. Fixed Costs and Depreciation Allowance are allocated equally over the months based on your Year 1 Forecast. Their amount remains constant regardless of revenue variations.</t>
  </si>
  <si>
    <t>Budget by Month allows you to update all cell data to match the Budget by Month Master when you click an Update All Button; update cell data to Master by row when you click the adjacent Update Button; and change any input within a blue cell by simply overwriting the existing data. This allows you to fully refine your budget and recalculates all percentages and totals based your inputs. Adjusting revenue and expense amounts will change your budget ratios i.e. Variable Cost % etc, beware. If you believe major adjustment is required it is recommended you review and adjust your Input Sheet data to generate an improved Master Budget. You can then refine it here to produce your Budget by Month. When you click an Update Button any existing data in the updated cells is overwritten and can not be recovered. It is replaced with data from the Budget by Month Master.</t>
  </si>
  <si>
    <t>Input the first month of your budget year. Following months are calculated as the preceding month plus 31 days.</t>
  </si>
  <si>
    <t>Total Variable Costs %</t>
  </si>
  <si>
    <t>Total Fixed Costs %</t>
  </si>
  <si>
    <t>Budget Month</t>
  </si>
  <si>
    <t>The Budget by Month Master builds a monthly budget for your Year 1 Forecast. This is done by using the Current Year and Year 1 Forecast data. Revenue for the budget year consists of 2 components. Base Revenue, which is the same as the Current Year (no change year on year), and Growth Revenue, which is the difference between Current Year Revenue and Year 1 Forecast Revenue. Base Revenue is allocated to each month according to the Percentage Contributor you input for the month. If all months contribute equal revenue the Percentage Contributor will be 8.3333% (1/12) for all months. This is unlikely as the revenue of most businesses tends to vary due to seasonal influences such as weather, holiday periods, etc. Your Percentage Contributor is used to incorporate these revenue variations.</t>
  </si>
  <si>
    <t>View Revenue, Operating Surplus, and Business Return for Year 1 as built by the Budget by Month Master.</t>
  </si>
  <si>
    <t>View Revenue, Operating Surplus, and Business Return as defined in Budget by Month.</t>
  </si>
  <si>
    <t>For the first 11 months of the year input the Percentage Contributor indicating the percentage of annual revenue the month would provide if there was no revenue growth. The percentage for the 12th month of the year is calculated to ensure the annual total is 100%. Use the 12th month percentage as a check on your inputs. The Base Revenue for each month is calculated as the Percentage Contributor multiplied by the Total Base Revenue for the Budget Year.</t>
  </si>
  <si>
    <t>Summary forecast data is included on the Sensitivity Analysis Sheet where you can test the sensitivity of your forecast. Details are in tabular form on the Results Sheets and graphical form on the Chart Sheets. To build your Budget input the revenue Percentage Contribution for each month and the first month of your budget in the Budget by Month Master. This will produce a full 12 month budget table and a Budget by Month Master Chart. You can then refine this on the Budget by Month sheet to build your final budget. To view comments position your mouse over the red marker cell or click the hyperlink to access the Instruction Sheet. To display Sheets click the associated button or tab.</t>
  </si>
  <si>
    <t>All inputs are in Blue cells on the Input, Analysis, and Budget Sheets. Click the tab, hyperlinks or buttons to access.</t>
  </si>
  <si>
    <t xml:space="preserve">Interest component of loans. </t>
  </si>
  <si>
    <t>Relative Indicators are required for each factor for Years 1 to 3. If there is no change from the previous year the Relative Indicator is 100%. You have provided Revenue and Costs details for the Current Year.  Year 1 is the year following the Current Year, Year 2 follows Year 1, and Year 3 follows Year 2.</t>
  </si>
  <si>
    <t>Input the replacement value of physical business assets.  Exclude property.  Consider vehicles, plant, and equipment. Annual replacement costs for these business assets are calculated as the Replacement Value  divided by the Asset Life. This provides for constant reinvestment to maintain the business. Property (Real Estate) is treated as a constant, depreciation and capital gain are assumed to balance each other out.</t>
  </si>
  <si>
    <t>Input the average life of the assets.  The Replacement Value of Business Assets will be divided by the Life of Assets to provide an indication of annual asset Depreciation Allowance.  This will be used in determining the Business Return.</t>
  </si>
  <si>
    <t>Input the percentage improvement in Relative Indicators to generate an Optimistic Forecast. If you feel it is "reasonably likely" your Relative Indicators may be 20% too low, input 20%.</t>
  </si>
  <si>
    <t>Input the percentage degrade in Relative Indicators to generate a Pessimistic Forecast. If you feel it is "reasonably likely" your Relative Indicators may be 20% too high, input 20%.</t>
  </si>
  <si>
    <t>Business Return is the Operating Surplus less a Depreciation Allowance. A Depreciation Allowance is required for the long term maintenance of the business. It is calculated as the Replacement Value of Business Assets divided by the Asset Lifetime. If the Depreciation Allowance is not reinvested business performance will decrease. The Business Return provides a longer term indicator of business performance.</t>
  </si>
  <si>
    <t>Full tabular results for your Expected Forecast.</t>
  </si>
  <si>
    <t>Full tabular results for your Optimistic Forecast.</t>
  </si>
  <si>
    <t>3 Year Forecast Operating Surplus Chart; Optimistic, Expected, and Pessimistic.</t>
  </si>
  <si>
    <t>3 Year Forecast Return Chart; Optimistic, Expected, and Pessimistic. Return is the Operating Surplus less the Depreciation Allowance.</t>
  </si>
  <si>
    <t>Growth Revenue is distributed across the months by considering the Percentage Contributor and the Compounding Growth Affect.  If you secure one new customer a month to generate your Growth Revenue then in month 1 you have Growth Revenue from one new customer, in month 2 you have Growth Revenue from 2 new customers (the customer secured in month 1 and the customer secured in month 2). This Compounding Growth Affect is adjusted by the Percentage Contributor to calculate the amount of Growth Revenue allocated to each month. Imagine the Percentage Contributor for month 2 is half that of month 1 due to seasonal factors halving the number of customers in month 2.  The average number of new customers you could secure in month 2 will also be halved by this downturn in demand resulting in a decrease in the amount of Growth Revenue that can be secured.</t>
  </si>
  <si>
    <t>Owner Cash Flow is the Operating Surplus plus the value of any Labor provided by the Owner. If the owner provides no labor for the business Owner Cash flow and Operating Surplus will be equal.</t>
  </si>
  <si>
    <t>Forecast Surplus Chart</t>
  </si>
  <si>
    <t>Budget by Month Master</t>
  </si>
  <si>
    <t>Budget by Month Master Chart</t>
  </si>
  <si>
    <t>Budget by Month Chart</t>
  </si>
  <si>
    <t>Percentage Contributor</t>
  </si>
  <si>
    <t>Sheet List</t>
  </si>
  <si>
    <t>This section considers factors that influence future business performance.  A relative indicator is used to reflect unit changes in these factors.   The base year relative indicator for each factor is defined as 100%.  Relative indicators for each of the next three years are applied to reflect likely changes in the unit cost or strength of the factor.  Each indicator is relative to the prior year.  A 10% increase from the previous year is reflected by a relative indicator of 110%.  A 10% decrease from the previous year is reflected by a relative indicator of 90%.  Relative indicators for costs reflect changes in the base unit of the expense such as labor costs per hour or material costs per unit.</t>
  </si>
  <si>
    <t>Input the percentage relative indicator to reflect the level of change from the previous year.  Consider market growth, technology &amp; regulatory impacts and customer needs.  Market strength is an indicator of the demand for the type of product or service you provide. This indicator has a direct relationship to forecast Business Revenue.  All things being equal as market strength increases Business Revenue increases.</t>
  </si>
  <si>
    <t>Full Year</t>
  </si>
  <si>
    <t>Business Return %</t>
  </si>
  <si>
    <t>Base Revenue</t>
  </si>
  <si>
    <t>Variation Year/Year</t>
  </si>
  <si>
    <t>Budget Year</t>
  </si>
  <si>
    <t>Budget by Month</t>
  </si>
  <si>
    <t>Acme Widgets</t>
  </si>
  <si>
    <t>Growth Revenue</t>
  </si>
  <si>
    <t>Total Revenue</t>
  </si>
  <si>
    <t>Sensitivity Analysis allows you to adjust your Relative Indicators by a set percentage to generate Optimistic and Pessimistic Forecasts.</t>
  </si>
  <si>
    <t>Optimistic Input</t>
  </si>
  <si>
    <t>This is the forecast revenue generated by the business.</t>
  </si>
  <si>
    <t>This is the forecast based on the Relative Indicators you provided as input.</t>
  </si>
  <si>
    <t>3 Year Forecast Revenue Chart; Optimistic, Expected and Pessimistic.</t>
  </si>
  <si>
    <t>Pessimistic Input</t>
  </si>
  <si>
    <t>This is the forecast based on your Optimistic improvement to Relative Indicators.</t>
  </si>
  <si>
    <t>This is the forecast based on your Pessimistic degradation of Relative Indicators.</t>
  </si>
  <si>
    <t>Instruction Sheet</t>
  </si>
  <si>
    <t>Blue cells require input. View comments by positioning your mouse over the red marker cell or click the hyperlink for the</t>
  </si>
  <si>
    <t>Forecast Data</t>
  </si>
  <si>
    <t>Current Operating Performance Data</t>
  </si>
  <si>
    <t>Return on Sales</t>
  </si>
  <si>
    <t>Depreciation Allowance</t>
  </si>
  <si>
    <t>Optimistic Forecast improved by</t>
  </si>
  <si>
    <t>Pessimistic Forecast degraded by</t>
  </si>
  <si>
    <t>Annual costs that do not vary with revenue.</t>
  </si>
  <si>
    <t>Input Relative Indicators to build a 3 Year Forecast.</t>
  </si>
  <si>
    <t>Forecast Revenue Chart</t>
  </si>
  <si>
    <t>Forecast Return Chart</t>
  </si>
  <si>
    <t>Operating Surplus Chart</t>
  </si>
  <si>
    <t>Optimistic Results</t>
  </si>
  <si>
    <t>Expected Results</t>
  </si>
  <si>
    <t>Pessimistic Results</t>
  </si>
  <si>
    <t>To test the sensitivity of your forecast input adjustment percentages in the blue cells. Green cells provide Optimistic results, yellow cells Expected, and tan cells Pessimistic. An Output Summary is provided at the bottom of this sheet.</t>
  </si>
  <si>
    <t>Materials &amp; Supplies</t>
  </si>
  <si>
    <t>Distribution</t>
  </si>
  <si>
    <t>Marketing</t>
  </si>
  <si>
    <t>Other</t>
  </si>
  <si>
    <t>Location</t>
  </si>
  <si>
    <t>Administration</t>
  </si>
  <si>
    <t>Owner Cash Flow</t>
  </si>
  <si>
    <t>Level of Competition</t>
  </si>
  <si>
    <t>Market Strength</t>
  </si>
  <si>
    <t>Materials &amp; Supplies Costs</t>
  </si>
  <si>
    <t>Business Market Position</t>
  </si>
  <si>
    <t>Replacement Value of Business Assets</t>
  </si>
  <si>
    <t>Life of Assets (years)</t>
  </si>
  <si>
    <t>Input the percentage of work hours applied to the business.</t>
  </si>
  <si>
    <t>What is the value of business assets excluding property.</t>
  </si>
  <si>
    <t>What is the average life of the assets?</t>
  </si>
  <si>
    <t>Interest Costs</t>
  </si>
  <si>
    <t>Interest Rates</t>
  </si>
  <si>
    <t>Business Revenue</t>
  </si>
  <si>
    <t>Expenses</t>
  </si>
  <si>
    <t>% Revenue</t>
  </si>
  <si>
    <t>Gross Profit</t>
  </si>
  <si>
    <t>Gross Profit %</t>
  </si>
  <si>
    <t>Mark-up Equivalent</t>
  </si>
  <si>
    <t>Total Expenses</t>
  </si>
  <si>
    <t>Forecast</t>
  </si>
  <si>
    <t>Relative Indicator</t>
  </si>
  <si>
    <t>Current Year</t>
  </si>
  <si>
    <t>Year 1</t>
  </si>
  <si>
    <t>Year 2</t>
  </si>
  <si>
    <t>Year 3</t>
  </si>
  <si>
    <t>Investment</t>
  </si>
  <si>
    <t>Owners Time Commitment to Business</t>
  </si>
  <si>
    <t>Return</t>
  </si>
  <si>
    <t>3 Year Average</t>
  </si>
  <si>
    <t>Business Surplus on Sales</t>
  </si>
  <si>
    <t>LESS</t>
  </si>
  <si>
    <t>Business Return</t>
  </si>
  <si>
    <t>Indicators are Relative to the prior year.</t>
  </si>
  <si>
    <t>&gt;100=Inc, &lt;100=Dec Market Strength.</t>
  </si>
  <si>
    <t>&gt;100=Inc, &lt;100=Dec base Costs.</t>
  </si>
  <si>
    <t>Pessimistic</t>
  </si>
  <si>
    <t>Sensitivity Analysis indicates a Return high of</t>
  </si>
  <si>
    <t>Pessimistic, degrade the variation of all Relative Indicators by</t>
  </si>
  <si>
    <t>Expected Forecast</t>
  </si>
  <si>
    <t>Operating Surplus %</t>
  </si>
  <si>
    <t>The 3 Year Average Expected Business Return is</t>
  </si>
  <si>
    <t>Operating Surplus</t>
  </si>
  <si>
    <t xml:space="preserve">Operating surplus to owner including wages. </t>
  </si>
  <si>
    <t>&gt;100=Inc, &lt;100=Dec Competition.</t>
  </si>
  <si>
    <t>Percent</t>
  </si>
  <si>
    <t>Labor excluding Owner</t>
  </si>
  <si>
    <t>Owners Maximum Business Labor Earnings</t>
  </si>
  <si>
    <t>Labor Owner</t>
  </si>
  <si>
    <t>Labor Costs</t>
  </si>
  <si>
    <t>Owners Current Business Labor Earnings</t>
  </si>
  <si>
    <t>Sensitivity Analysis</t>
  </si>
  <si>
    <t>Owners Max Business Labor Earnings</t>
  </si>
  <si>
    <t>Optimistic, improve the variation of all Relative Indicators by</t>
  </si>
  <si>
    <t>Expected</t>
  </si>
  <si>
    <t>Monetary</t>
  </si>
  <si>
    <t>Annual business revenue for the current year.</t>
  </si>
  <si>
    <t>Cost of an employee who could replace the owner.</t>
  </si>
  <si>
    <t>Cost of labor including all benefits and add-ons.</t>
  </si>
  <si>
    <t>Cost of marketing and promotion.</t>
  </si>
  <si>
    <t>Annual costs that vary with the level of revenue.</t>
  </si>
  <si>
    <t>Set the Expense Input as Monetary or Percent.</t>
  </si>
  <si>
    <t>Cost to get the product/service to the consumer.</t>
  </si>
  <si>
    <t>Any other costs incurred in the product/service.</t>
  </si>
  <si>
    <t>This appears on the Output Sheets.</t>
  </si>
  <si>
    <t>Cost of rent, utilities etc. Exclude ownership costs.</t>
  </si>
  <si>
    <t>Cost of administration supplies and requirements.</t>
  </si>
  <si>
    <t>Any other overhead costs not already included.</t>
  </si>
  <si>
    <t>This section reviews current business performance for a full year.</t>
  </si>
  <si>
    <t>Business Name or Identifier</t>
  </si>
  <si>
    <t xml:space="preserve">Operating surplus before taxation. </t>
  </si>
  <si>
    <t>Summary</t>
  </si>
  <si>
    <t>per year.</t>
  </si>
  <si>
    <t>to a low of</t>
  </si>
  <si>
    <t>Optimistic</t>
  </si>
  <si>
    <t>Input the percentage relative indicator to reflect the level of change from the previous year.  Consider the number of competitors, competitor strategies, potential new entrants.  This indicator has an inverse relationship to forecast Business Revenue.  All things being equal as the level of competition increases Business Revenue decreases.</t>
  </si>
  <si>
    <t>Input</t>
  </si>
  <si>
    <t>Outline</t>
  </si>
  <si>
    <t>Cost of items used in the product/service or resold.</t>
  </si>
  <si>
    <t>&gt;100=Inc, &lt;100=Dec Business Position.</t>
  </si>
  <si>
    <t>&gt;100=Inc, &lt;100=Dec base Interest.</t>
  </si>
  <si>
    <t xml:space="preserve"> In evaluation mode functionality is limited.</t>
  </si>
  <si>
    <t>Locked</t>
  </si>
  <si>
    <t>emall len &gt;6</t>
  </si>
  <si>
    <t>code len&gt;8</t>
  </si>
  <si>
    <t>yyyymmdd=code/emailchsum/i</t>
  </si>
  <si>
    <t>yyyymmdd len=8</t>
  </si>
  <si>
    <t>IF(ISNUMBER(C55),IF(C55&gt;TODAY()+3650,2,IF(C55&gt;TODAY()-2,1,0)),0)</t>
  </si>
  <si>
    <t>status</t>
  </si>
  <si>
    <t>&gt;today+36500days=2</t>
  </si>
  <si>
    <t>Shift Scheduler will build a roster structure to your specifications, allocate staff automatically, and generate a printable roster, all at the click of a button. It is compact and user friendly allowing you to add staff and shifts (maximum 150) with ease. Default values for continuous shifts mean that the only shift data required is the start date/time and length for the first shift, everything else is automated.</t>
  </si>
  <si>
    <t>To start use the sheet tabs to select the Input sheet.</t>
  </si>
  <si>
    <t>Input is in the blue cells. Non-input cells are protected to maintain formula integrity.</t>
  </si>
  <si>
    <t>help</t>
  </si>
  <si>
    <t>Application License Details:</t>
  </si>
  <si>
    <t>Licensed Email Address:</t>
  </si>
  <si>
    <t>License Code:</t>
  </si>
  <si>
    <t>License Valid to Date:</t>
  </si>
  <si>
    <t>Suitability must be independently assessed and use indicates acceptance of any and all associated risk.</t>
  </si>
  <si>
    <t xml:space="preserve"> Macros must be enabled for this application to function.</t>
  </si>
  <si>
    <t>Please refer to your spreadsheet Help for details on how to enable macros.</t>
  </si>
  <si>
    <t>Forecast Budget</t>
  </si>
  <si>
    <t>Instructions</t>
  </si>
  <si>
    <t>https://bizpep.com/forecastbudget.html?display=license</t>
  </si>
  <si>
    <t>Forecast Budget is a streamlined tool for developing a 3 year business forecast and a 12 month budget. It requires minimal inputs and generates Optimistic to Pessimistic forecasts for your business. From your forecasts a 12 month master budget is built. You then have the capacity to refine this budget as required. The methodology used applies relationships between current data and relative indicators for future performance to produce a verifiable budget quickly and easily. This forecast and budget tool can be utilized for existing and proposed businesses, products, or services. Outputs include a 3 Year Forecast with Sensitivity Analysis, and a Budget by Month in tabular and graphical form.</t>
  </si>
  <si>
    <t>Input the percentage relative indicator to reflect the level of change from the previous year.  Consider your position in the market, and the impact of your current actions. This is a measure of your standing relative to the competition as perceived by potential consumers. If things will remain much the same input 100%, indicating no change over the previous year.  If you have actions to improve the position of your business by 10% then the input would be 110%. This indicator has a direct relationship to forecast Business Revenue. All thing being equal as market position increases Business Revenue increases.  Actions contributing to the business position must be substantiated and implemented to have an impact.</t>
  </si>
  <si>
    <t>Input the percentage relative indicator to reflect the level of change from the previous year.  This should reflect changes in the relationship between your variable costs and revenue.   If you have actions to improve your variable cost efficiency (decrease variable costs) by 10% over the previous year input 110%.  Consider changes in processes, distribution or the materials used.  This indicator has an inverse relationship to forecast variable Materials &amp; Supplies, Labor excluding Owner, Labor Owner, Distribution, Marketing and Other expenses. All things being equal as variable cost efficiency increases less materials, labor, distribution and marketing resources are required resulting in a decrease in these expenses.   Actions must be substantiated and implemented to have an impact.</t>
  </si>
  <si>
    <t>Input the percentage relative indicator to reflect the level of change from the previous year.  Consider changes in administration processes and fixed labor requirements.  This indicator has an inverse relationship to forecast fixed Administration, Labor excluding Owner, Labor Owner, and Other expenses.   All things being equal as overhead efficiency increases less administration and labor resources are required resulting in a decrease in these expenses.  It does not apply to Location and Finance expenses.   Actions contributing to the business position must be substantiated and implemented to have an impact.</t>
  </si>
  <si>
    <t>Build: 20220225 by bizpep.com</t>
  </si>
  <si>
    <t>f</t>
  </si>
  <si>
    <t>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</si>
</sst>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C09]d\ mmmm\ yyyy;@"/>
  </numFmts>
  <fonts count="32" x14ac:knownFonts="1">
    <font>
      <sz val="10"/>
      <name val="Arial"/>
    </font>
    <font>
      <sz val="11"/>
      <color theme="1"/>
      <name val="Calibri"/>
      <family val="2"/>
      <scheme val="minor"/>
    </font>
    <font>
      <sz val="10"/>
      <name val="Arial"/>
      <family val="2"/>
    </font>
    <font>
      <b/>
      <sz val="10"/>
      <name val="Arial"/>
      <family val="2"/>
    </font>
    <font>
      <sz val="10"/>
      <name val="Arial"/>
      <family val="2"/>
    </font>
    <font>
      <u/>
      <sz val="10"/>
      <color indexed="12"/>
      <name val="Arial"/>
      <family val="2"/>
    </font>
    <font>
      <b/>
      <u/>
      <sz val="10"/>
      <name val="Arial"/>
      <family val="2"/>
    </font>
    <font>
      <sz val="10"/>
      <color indexed="9"/>
      <name val="Arial"/>
      <family val="2"/>
    </font>
    <font>
      <sz val="8"/>
      <name val="Arial"/>
      <family val="2"/>
    </font>
    <font>
      <u/>
      <sz val="10"/>
      <name val="Arial"/>
      <family val="2"/>
    </font>
    <font>
      <b/>
      <sz val="14"/>
      <name val="Arial"/>
      <family val="2"/>
    </font>
    <font>
      <b/>
      <u/>
      <sz val="14"/>
      <color indexed="12"/>
      <name val="Arial"/>
      <family val="2"/>
    </font>
    <font>
      <b/>
      <u/>
      <sz val="10"/>
      <color indexed="12"/>
      <name val="Arial"/>
      <family val="2"/>
    </font>
    <font>
      <sz val="8"/>
      <color indexed="81"/>
      <name val="Tahoma"/>
      <family val="2"/>
    </font>
    <font>
      <b/>
      <sz val="8"/>
      <name val="Arial"/>
      <family val="2"/>
    </font>
    <font>
      <b/>
      <sz val="10"/>
      <color indexed="10"/>
      <name val="Arial"/>
      <family val="2"/>
    </font>
    <font>
      <sz val="10"/>
      <color indexed="10"/>
      <name val="Arial"/>
      <family val="2"/>
    </font>
    <font>
      <b/>
      <sz val="14"/>
      <color indexed="10"/>
      <name val="Arial"/>
      <family val="2"/>
    </font>
    <font>
      <u/>
      <sz val="10"/>
      <color indexed="12"/>
      <name val="Arial"/>
      <family val="2"/>
    </font>
    <font>
      <b/>
      <sz val="10"/>
      <color indexed="58"/>
      <name val="Arial"/>
      <family val="2"/>
    </font>
    <font>
      <sz val="10"/>
      <color indexed="58"/>
      <name val="Arial"/>
      <family val="2"/>
    </font>
    <font>
      <b/>
      <sz val="10"/>
      <color rgb="FF003300"/>
      <name val="Arial"/>
      <family val="2"/>
    </font>
    <font>
      <sz val="10"/>
      <color rgb="FF003300"/>
      <name val="Arial"/>
      <family val="2"/>
    </font>
    <font>
      <sz val="10"/>
      <color rgb="FF000000"/>
      <name val="Arial"/>
      <family val="2"/>
    </font>
    <font>
      <b/>
      <sz val="14"/>
      <color indexed="18"/>
      <name val="Arial"/>
      <family val="2"/>
    </font>
    <font>
      <sz val="10"/>
      <color indexed="8"/>
      <name val="Arial"/>
      <family val="2"/>
    </font>
    <font>
      <b/>
      <sz val="10"/>
      <color indexed="8"/>
      <name val="Arial"/>
      <family val="2"/>
    </font>
    <font>
      <sz val="10"/>
      <color rgb="FFFF0000"/>
      <name val="Arial"/>
      <family val="2"/>
    </font>
    <font>
      <u/>
      <sz val="11"/>
      <color indexed="12"/>
      <name val="Calibri"/>
      <family val="2"/>
    </font>
    <font>
      <b/>
      <sz val="10"/>
      <color rgb="FFFF0000"/>
      <name val="Arial"/>
      <family val="2"/>
    </font>
    <font>
      <sz val="8"/>
      <color theme="0"/>
      <name val="Arial"/>
      <family val="2"/>
    </font>
    <font>
      <u/>
      <sz val="10"/>
      <color theme="0"/>
      <name val="Arial"/>
      <family val="2"/>
    </font>
  </fonts>
  <fills count="9">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theme="0"/>
        <bgColor indexed="64"/>
      </patternFill>
    </fill>
    <fill>
      <patternFill patternType="solid">
        <fgColor rgb="FFCCCCCC"/>
        <bgColor indexed="64"/>
      </patternFill>
    </fill>
  </fills>
  <borders count="26">
    <border>
      <left/>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style="double">
        <color indexed="64"/>
      </right>
      <top/>
      <bottom/>
      <diagonal/>
    </border>
    <border>
      <left/>
      <right/>
      <top style="thin">
        <color indexed="64"/>
      </top>
      <bottom style="thin">
        <color indexed="64"/>
      </bottom>
      <diagonal/>
    </border>
    <border>
      <left style="double">
        <color indexed="64"/>
      </left>
      <right style="thin">
        <color indexed="64"/>
      </right>
      <top/>
      <bottom/>
      <diagonal/>
    </border>
    <border>
      <left style="double">
        <color indexed="64"/>
      </left>
      <right style="thin">
        <color indexed="64"/>
      </right>
      <top/>
      <bottom style="thin">
        <color indexed="64"/>
      </bottom>
      <diagonal/>
    </border>
    <border>
      <left style="double">
        <color indexed="64"/>
      </left>
      <right style="thin">
        <color indexed="64"/>
      </right>
      <top style="thin">
        <color indexed="64"/>
      </top>
      <bottom/>
      <diagonal/>
    </border>
    <border>
      <left/>
      <right style="double">
        <color indexed="64"/>
      </right>
      <top style="thin">
        <color indexed="64"/>
      </top>
      <bottom/>
      <diagonal/>
    </border>
    <border>
      <left/>
      <right style="double">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thin">
        <color indexed="64"/>
      </right>
      <top style="dashed">
        <color indexed="64"/>
      </top>
      <bottom style="dashed">
        <color indexed="64"/>
      </bottom>
      <diagonal/>
    </border>
  </borders>
  <cellStyleXfs count="9">
    <xf numFmtId="0" fontId="0" fillId="2" borderId="0"/>
    <xf numFmtId="0" fontId="5" fillId="0" borderId="0" applyNumberFormat="0" applyFill="0" applyBorder="0" applyAlignment="0" applyProtection="0">
      <alignment vertical="top"/>
      <protection locked="0"/>
    </xf>
    <xf numFmtId="0" fontId="2" fillId="2" borderId="0">
      <alignment vertical="top"/>
    </xf>
    <xf numFmtId="0" fontId="2" fillId="2" borderId="0">
      <alignment vertical="top"/>
    </xf>
    <xf numFmtId="0" fontId="1" fillId="0" borderId="0"/>
    <xf numFmtId="0" fontId="28" fillId="0" borderId="0" applyNumberFormat="0" applyFill="0" applyBorder="0" applyAlignment="0" applyProtection="0">
      <alignment vertical="top"/>
      <protection locked="0"/>
    </xf>
    <xf numFmtId="0" fontId="2" fillId="2" borderId="0"/>
    <xf numFmtId="0" fontId="2" fillId="2" borderId="0">
      <alignment vertical="top"/>
    </xf>
    <xf numFmtId="0" fontId="5" fillId="0" borderId="0" applyNumberFormat="0" applyFill="0" applyBorder="0" applyAlignment="0" applyProtection="0">
      <alignment vertical="top"/>
      <protection locked="0"/>
    </xf>
  </cellStyleXfs>
  <cellXfs count="591">
    <xf numFmtId="0" fontId="0" fillId="2" borderId="0" xfId="0"/>
    <xf numFmtId="0" fontId="2" fillId="2" borderId="0" xfId="2">
      <alignment vertical="top"/>
    </xf>
    <xf numFmtId="0" fontId="0" fillId="2" borderId="0" xfId="0" applyProtection="1">
      <protection hidden="1"/>
    </xf>
    <xf numFmtId="0" fontId="2" fillId="2" borderId="0" xfId="3" applyProtection="1">
      <alignment vertical="top"/>
      <protection hidden="1"/>
    </xf>
    <xf numFmtId="0" fontId="2" fillId="2" borderId="0" xfId="3">
      <alignment vertical="top"/>
    </xf>
    <xf numFmtId="49" fontId="2" fillId="2" borderId="0" xfId="2" applyNumberFormat="1" applyProtection="1">
      <alignment vertical="top"/>
      <protection hidden="1"/>
    </xf>
    <xf numFmtId="49" fontId="2" fillId="2" borderId="0" xfId="2" applyNumberFormat="1" applyAlignment="1" applyProtection="1">
      <alignment horizontal="justify" vertical="top" wrapText="1"/>
      <protection hidden="1"/>
    </xf>
    <xf numFmtId="49" fontId="2" fillId="2" borderId="0" xfId="2" applyNumberFormat="1" applyFill="1" applyAlignment="1" applyProtection="1">
      <alignment horizontal="justify" vertical="top" wrapText="1"/>
      <protection hidden="1"/>
    </xf>
    <xf numFmtId="49" fontId="2" fillId="2" borderId="0" xfId="2" applyNumberFormat="1" applyAlignment="1" applyProtection="1">
      <alignment horizontal="left" vertical="top" wrapText="1"/>
      <protection hidden="1"/>
    </xf>
    <xf numFmtId="0" fontId="2" fillId="2" borderId="0" xfId="2" applyAlignment="1">
      <alignment horizontal="left" vertical="top"/>
    </xf>
    <xf numFmtId="49" fontId="3" fillId="2" borderId="1" xfId="0" applyNumberFormat="1" applyFont="1" applyFill="1" applyBorder="1" applyAlignment="1" applyProtection="1">
      <alignment horizontal="right" vertical="top" wrapText="1"/>
      <protection hidden="1"/>
    </xf>
    <xf numFmtId="49" fontId="3" fillId="2" borderId="2" xfId="0" applyNumberFormat="1" applyFont="1" applyFill="1" applyBorder="1" applyAlignment="1" applyProtection="1">
      <alignment horizontal="justify" vertical="top" wrapText="1"/>
      <protection hidden="1"/>
    </xf>
    <xf numFmtId="49" fontId="3" fillId="2" borderId="3" xfId="0" applyNumberFormat="1" applyFont="1" applyFill="1" applyBorder="1" applyAlignment="1" applyProtection="1">
      <alignment horizontal="justify" vertical="top" wrapText="1"/>
      <protection hidden="1"/>
    </xf>
    <xf numFmtId="0" fontId="2" fillId="2" borderId="0" xfId="2" applyNumberFormat="1" applyAlignment="1" applyProtection="1">
      <alignment horizontal="justify" vertical="top" wrapText="1"/>
      <protection hidden="1"/>
    </xf>
    <xf numFmtId="0" fontId="2" fillId="2" borderId="0" xfId="2" applyNumberFormat="1">
      <alignment vertical="top"/>
    </xf>
    <xf numFmtId="49" fontId="3" fillId="3" borderId="4" xfId="0" applyNumberFormat="1" applyFont="1" applyFill="1" applyBorder="1" applyAlignment="1" applyProtection="1">
      <alignment horizontal="justify" vertical="top" wrapText="1"/>
      <protection hidden="1"/>
    </xf>
    <xf numFmtId="49" fontId="3" fillId="3" borderId="2" xfId="0" applyNumberFormat="1" applyFont="1" applyFill="1" applyBorder="1" applyAlignment="1" applyProtection="1">
      <alignment horizontal="justify" vertical="top" wrapText="1"/>
      <protection hidden="1"/>
    </xf>
    <xf numFmtId="0" fontId="3" fillId="2" borderId="5" xfId="3" applyFont="1" applyFill="1" applyBorder="1" applyAlignment="1" applyProtection="1">
      <alignment horizontal="left" vertical="top" wrapText="1"/>
      <protection hidden="1"/>
    </xf>
    <xf numFmtId="0" fontId="2" fillId="2" borderId="0" xfId="3" applyFill="1" applyProtection="1">
      <alignment vertical="top"/>
      <protection hidden="1"/>
    </xf>
    <xf numFmtId="0" fontId="6" fillId="2" borderId="0" xfId="3" applyFont="1" applyFill="1" applyAlignment="1" applyProtection="1">
      <protection hidden="1"/>
    </xf>
    <xf numFmtId="0" fontId="6" fillId="2" borderId="0" xfId="3" applyFont="1" applyFill="1" applyAlignment="1" applyProtection="1">
      <alignment wrapText="1"/>
      <protection hidden="1"/>
    </xf>
    <xf numFmtId="0" fontId="7" fillId="2" borderId="0" xfId="3" applyFont="1" applyFill="1" applyAlignment="1" applyProtection="1">
      <alignment horizontal="center" wrapText="1"/>
      <protection hidden="1"/>
    </xf>
    <xf numFmtId="0" fontId="4" fillId="2" borderId="0" xfId="3" applyFont="1" applyFill="1" applyAlignment="1" applyProtection="1">
      <alignment wrapText="1"/>
      <protection hidden="1"/>
    </xf>
    <xf numFmtId="0" fontId="7" fillId="2" borderId="0" xfId="3" applyFont="1" applyFill="1" applyAlignment="1" applyProtection="1">
      <alignment wrapText="1"/>
      <protection hidden="1"/>
    </xf>
    <xf numFmtId="0" fontId="3" fillId="2" borderId="5" xfId="3" applyFont="1" applyFill="1" applyBorder="1" applyAlignment="1" applyProtection="1">
      <alignment wrapText="1"/>
      <protection hidden="1"/>
    </xf>
    <xf numFmtId="0" fontId="3" fillId="2" borderId="1" xfId="3" applyFont="1" applyFill="1" applyBorder="1" applyAlignment="1" applyProtection="1">
      <alignment wrapText="1"/>
      <protection hidden="1"/>
    </xf>
    <xf numFmtId="0" fontId="4" fillId="2" borderId="1" xfId="3" applyFont="1" applyFill="1" applyBorder="1" applyAlignment="1" applyProtection="1">
      <alignment wrapText="1"/>
      <protection hidden="1"/>
    </xf>
    <xf numFmtId="0" fontId="4" fillId="2" borderId="5" xfId="3" applyFont="1" applyFill="1" applyBorder="1" applyAlignment="1" applyProtection="1">
      <alignment wrapText="1"/>
      <protection hidden="1"/>
    </xf>
    <xf numFmtId="1" fontId="4" fillId="2" borderId="5" xfId="3" applyNumberFormat="1" applyFont="1" applyFill="1" applyBorder="1" applyProtection="1">
      <alignment vertical="top"/>
      <protection hidden="1"/>
    </xf>
    <xf numFmtId="1" fontId="4" fillId="2" borderId="1" xfId="3" applyNumberFormat="1" applyFont="1" applyFill="1" applyBorder="1" applyProtection="1">
      <alignment vertical="top"/>
      <protection hidden="1"/>
    </xf>
    <xf numFmtId="0" fontId="3" fillId="2" borderId="1" xfId="3" applyFont="1" applyFill="1" applyBorder="1" applyAlignment="1" applyProtection="1">
      <alignment horizontal="right" vertical="top"/>
      <protection hidden="1"/>
    </xf>
    <xf numFmtId="3" fontId="4" fillId="2" borderId="6" xfId="3" applyNumberFormat="1" applyFont="1" applyFill="1" applyBorder="1" applyProtection="1">
      <alignment vertical="top"/>
      <protection hidden="1"/>
    </xf>
    <xf numFmtId="3" fontId="4" fillId="2" borderId="5" xfId="3" applyNumberFormat="1" applyFont="1" applyFill="1" applyBorder="1" applyProtection="1">
      <alignment vertical="top"/>
      <protection hidden="1"/>
    </xf>
    <xf numFmtId="0" fontId="4" fillId="2" borderId="1" xfId="3" applyFont="1" applyFill="1" applyBorder="1" applyAlignment="1" applyProtection="1">
      <alignment horizontal="right" vertical="top"/>
      <protection hidden="1"/>
    </xf>
    <xf numFmtId="164" fontId="4" fillId="2" borderId="5" xfId="3" applyNumberFormat="1" applyFont="1" applyFill="1" applyBorder="1" applyProtection="1">
      <alignment vertical="top"/>
      <protection hidden="1"/>
    </xf>
    <xf numFmtId="164" fontId="4" fillId="2" borderId="6" xfId="3" applyNumberFormat="1" applyFont="1" applyFill="1" applyBorder="1" applyProtection="1">
      <alignment vertical="top"/>
      <protection hidden="1"/>
    </xf>
    <xf numFmtId="3" fontId="6" fillId="2" borderId="5" xfId="3" applyNumberFormat="1" applyFont="1" applyFill="1" applyBorder="1" applyProtection="1">
      <alignment vertical="top"/>
      <protection hidden="1"/>
    </xf>
    <xf numFmtId="164" fontId="3" fillId="2" borderId="5" xfId="3" applyNumberFormat="1" applyFont="1" applyFill="1" applyBorder="1" applyProtection="1">
      <alignment vertical="top"/>
      <protection hidden="1"/>
    </xf>
    <xf numFmtId="164" fontId="3" fillId="2" borderId="6" xfId="3" applyNumberFormat="1" applyFont="1" applyFill="1" applyBorder="1" applyProtection="1">
      <alignment vertical="top"/>
      <protection hidden="1"/>
    </xf>
    <xf numFmtId="1" fontId="4" fillId="2" borderId="6" xfId="3" applyNumberFormat="1" applyFont="1" applyFill="1" applyBorder="1" applyProtection="1">
      <alignment vertical="top"/>
      <protection hidden="1"/>
    </xf>
    <xf numFmtId="0" fontId="3" fillId="2" borderId="1" xfId="3" applyFont="1" applyFill="1" applyBorder="1" applyAlignment="1" applyProtection="1">
      <alignment horizontal="left"/>
      <protection hidden="1"/>
    </xf>
    <xf numFmtId="0" fontId="3" fillId="2" borderId="1" xfId="3" applyFont="1" applyFill="1" applyBorder="1" applyAlignment="1" applyProtection="1">
      <alignment vertical="top"/>
      <protection hidden="1"/>
    </xf>
    <xf numFmtId="0" fontId="2" fillId="2" borderId="0" xfId="3" applyFill="1" applyAlignment="1" applyProtection="1">
      <alignment vertical="top"/>
      <protection hidden="1"/>
    </xf>
    <xf numFmtId="0" fontId="3" fillId="2" borderId="4" xfId="3" applyFont="1" applyFill="1" applyBorder="1" applyAlignment="1" applyProtection="1">
      <alignment horizontal="center" vertical="top" wrapText="1"/>
      <protection hidden="1"/>
    </xf>
    <xf numFmtId="0" fontId="3" fillId="2" borderId="4" xfId="3" applyFont="1" applyBorder="1" applyAlignment="1" applyProtection="1">
      <alignment horizontal="center" vertical="top" wrapText="1"/>
      <protection hidden="1"/>
    </xf>
    <xf numFmtId="3" fontId="3" fillId="2" borderId="5" xfId="3" applyNumberFormat="1" applyFont="1" applyBorder="1" applyProtection="1">
      <alignment vertical="top"/>
      <protection hidden="1"/>
    </xf>
    <xf numFmtId="3" fontId="3" fillId="3" borderId="6" xfId="3" applyNumberFormat="1" applyFont="1" applyFill="1" applyBorder="1" applyProtection="1">
      <alignment vertical="top"/>
      <protection hidden="1"/>
    </xf>
    <xf numFmtId="3" fontId="3" fillId="3" borderId="0" xfId="3" applyNumberFormat="1" applyFont="1" applyFill="1" applyBorder="1" applyProtection="1">
      <alignment vertical="top"/>
      <protection hidden="1"/>
    </xf>
    <xf numFmtId="3" fontId="3" fillId="3" borderId="2" xfId="3" applyNumberFormat="1" applyFont="1" applyFill="1" applyBorder="1" applyProtection="1">
      <alignment vertical="top"/>
      <protection hidden="1"/>
    </xf>
    <xf numFmtId="3" fontId="4" fillId="3" borderId="6" xfId="3" applyNumberFormat="1" applyFont="1" applyFill="1" applyBorder="1" applyProtection="1">
      <alignment vertical="top"/>
      <protection hidden="1"/>
    </xf>
    <xf numFmtId="3" fontId="4" fillId="3" borderId="5" xfId="3" applyNumberFormat="1" applyFont="1" applyFill="1" applyBorder="1" applyProtection="1">
      <alignment vertical="top"/>
      <protection hidden="1"/>
    </xf>
    <xf numFmtId="3" fontId="6" fillId="3" borderId="5" xfId="3" applyNumberFormat="1" applyFont="1" applyFill="1" applyBorder="1" applyProtection="1">
      <alignment vertical="top"/>
      <protection hidden="1"/>
    </xf>
    <xf numFmtId="3" fontId="6" fillId="3" borderId="6" xfId="3" applyNumberFormat="1" applyFont="1" applyFill="1" applyBorder="1" applyProtection="1">
      <alignment vertical="top"/>
      <protection hidden="1"/>
    </xf>
    <xf numFmtId="0" fontId="4" fillId="2" borderId="0" xfId="3" applyFont="1" applyProtection="1">
      <alignment vertical="top"/>
      <protection hidden="1"/>
    </xf>
    <xf numFmtId="1" fontId="4" fillId="2" borderId="0" xfId="3" applyNumberFormat="1" applyFont="1" applyFill="1" applyBorder="1" applyProtection="1">
      <alignment vertical="top"/>
      <protection hidden="1"/>
    </xf>
    <xf numFmtId="1" fontId="4" fillId="2" borderId="0" xfId="3" applyNumberFormat="1" applyFont="1" applyBorder="1" applyProtection="1">
      <alignment vertical="top"/>
      <protection hidden="1"/>
    </xf>
    <xf numFmtId="0" fontId="4" fillId="2" borderId="0" xfId="3" applyFont="1" applyFill="1" applyBorder="1" applyProtection="1">
      <alignment vertical="top"/>
      <protection hidden="1"/>
    </xf>
    <xf numFmtId="0" fontId="4" fillId="2" borderId="0" xfId="3" applyFont="1" applyFill="1" applyProtection="1">
      <alignment vertical="top"/>
      <protection hidden="1"/>
    </xf>
    <xf numFmtId="3" fontId="4" fillId="2" borderId="0" xfId="3" applyNumberFormat="1" applyFont="1" applyFill="1" applyBorder="1" applyProtection="1">
      <alignment vertical="top"/>
      <protection hidden="1"/>
    </xf>
    <xf numFmtId="0" fontId="4" fillId="2" borderId="0" xfId="3" applyFont="1" applyAlignment="1" applyProtection="1">
      <alignment horizontal="center" vertical="top"/>
      <protection hidden="1"/>
    </xf>
    <xf numFmtId="0" fontId="3" fillId="2" borderId="0" xfId="3" applyNumberFormat="1" applyFont="1" applyFill="1" applyBorder="1" applyAlignment="1" applyProtection="1">
      <alignment horizontal="center" wrapText="1"/>
      <protection hidden="1"/>
    </xf>
    <xf numFmtId="9" fontId="3" fillId="2" borderId="0" xfId="3" applyNumberFormat="1" applyFont="1" applyFill="1" applyBorder="1" applyAlignment="1" applyProtection="1">
      <alignment horizontal="center" wrapText="1"/>
      <protection hidden="1"/>
    </xf>
    <xf numFmtId="3" fontId="4" fillId="2" borderId="0" xfId="3" applyNumberFormat="1" applyFont="1" applyFill="1" applyProtection="1">
      <alignment vertical="top"/>
      <protection hidden="1"/>
    </xf>
    <xf numFmtId="0" fontId="4" fillId="2" borderId="5" xfId="3" applyFont="1" applyBorder="1" applyProtection="1">
      <alignment vertical="top"/>
      <protection hidden="1"/>
    </xf>
    <xf numFmtId="0" fontId="4" fillId="0" borderId="0" xfId="0" applyNumberFormat="1" applyFont="1" applyFill="1" applyBorder="1" applyAlignment="1" applyProtection="1">
      <alignment horizontal="center" vertical="top" wrapText="1"/>
      <protection hidden="1"/>
    </xf>
    <xf numFmtId="3" fontId="3" fillId="3" borderId="0" xfId="0" applyNumberFormat="1" applyFont="1" applyFill="1" applyBorder="1" applyAlignment="1" applyProtection="1">
      <alignment horizontal="center" vertical="top" wrapText="1"/>
      <protection hidden="1"/>
    </xf>
    <xf numFmtId="0" fontId="0" fillId="2" borderId="0" xfId="0" applyAlignment="1" applyProtection="1">
      <alignment vertical="top"/>
      <protection hidden="1"/>
    </xf>
    <xf numFmtId="0" fontId="2" fillId="2" borderId="0" xfId="3" applyAlignment="1" applyProtection="1">
      <alignment vertical="top"/>
      <protection hidden="1"/>
    </xf>
    <xf numFmtId="0" fontId="3" fillId="2" borderId="0" xfId="0" applyFont="1" applyAlignment="1" applyProtection="1">
      <alignment vertical="top" wrapText="1"/>
      <protection hidden="1"/>
    </xf>
    <xf numFmtId="0" fontId="0" fillId="2" borderId="0" xfId="0" applyNumberFormat="1" applyAlignment="1" applyProtection="1">
      <alignment horizontal="justify" vertical="top" wrapText="1"/>
      <protection hidden="1"/>
    </xf>
    <xf numFmtId="0" fontId="2" fillId="2" borderId="0" xfId="3" applyNumberFormat="1" applyAlignment="1" applyProtection="1">
      <alignment horizontal="justify" vertical="top" wrapText="1"/>
      <protection hidden="1"/>
    </xf>
    <xf numFmtId="0" fontId="2" fillId="2" borderId="0" xfId="3" applyNumberFormat="1" applyAlignment="1">
      <alignment horizontal="justify" vertical="top" wrapText="1"/>
    </xf>
    <xf numFmtId="0" fontId="0" fillId="2" borderId="6" xfId="0" applyBorder="1" applyAlignment="1" applyProtection="1">
      <alignment vertical="top" wrapText="1"/>
      <protection hidden="1"/>
    </xf>
    <xf numFmtId="0" fontId="4" fillId="2" borderId="1" xfId="0" applyFont="1" applyFill="1" applyBorder="1" applyAlignment="1" applyProtection="1">
      <alignment vertical="top" wrapText="1"/>
      <protection hidden="1"/>
    </xf>
    <xf numFmtId="0" fontId="4" fillId="2" borderId="1" xfId="3" applyFont="1" applyBorder="1" applyAlignment="1" applyProtection="1">
      <alignment horizontal="right" vertical="top"/>
      <protection hidden="1"/>
    </xf>
    <xf numFmtId="0" fontId="4" fillId="2" borderId="1" xfId="0" applyFont="1" applyFill="1" applyBorder="1" applyAlignment="1" applyProtection="1">
      <alignment horizontal="right" vertical="top" wrapText="1"/>
      <protection hidden="1"/>
    </xf>
    <xf numFmtId="0" fontId="3" fillId="2" borderId="6" xfId="3" applyFont="1" applyFill="1" applyBorder="1" applyAlignment="1" applyProtection="1">
      <alignment vertical="top"/>
      <protection hidden="1"/>
    </xf>
    <xf numFmtId="3" fontId="0" fillId="0" borderId="6" xfId="0" applyNumberFormat="1" applyFill="1" applyBorder="1" applyAlignment="1" applyProtection="1">
      <alignment vertical="top" wrapText="1"/>
      <protection hidden="1"/>
    </xf>
    <xf numFmtId="3" fontId="4" fillId="0" borderId="6" xfId="0" applyNumberFormat="1" applyFont="1" applyFill="1" applyBorder="1" applyAlignment="1" applyProtection="1">
      <alignment vertical="top" wrapText="1"/>
      <protection hidden="1"/>
    </xf>
    <xf numFmtId="0" fontId="3" fillId="2" borderId="5" xfId="3" applyFont="1" applyFill="1" applyBorder="1" applyAlignment="1" applyProtection="1">
      <alignment vertical="top" wrapText="1"/>
      <protection hidden="1"/>
    </xf>
    <xf numFmtId="3" fontId="4" fillId="4" borderId="5" xfId="3" applyNumberFormat="1" applyFont="1" applyFill="1" applyBorder="1" applyAlignment="1" applyProtection="1">
      <alignment vertical="top" wrapText="1"/>
      <protection hidden="1"/>
    </xf>
    <xf numFmtId="3" fontId="0" fillId="3" borderId="5" xfId="0" applyNumberFormat="1" applyFill="1" applyBorder="1" applyAlignment="1" applyProtection="1">
      <alignment vertical="top" wrapText="1"/>
      <protection hidden="1"/>
    </xf>
    <xf numFmtId="3" fontId="0" fillId="5" borderId="5" xfId="0" applyNumberFormat="1" applyFill="1" applyBorder="1" applyAlignment="1" applyProtection="1">
      <alignment vertical="top" wrapText="1"/>
      <protection hidden="1"/>
    </xf>
    <xf numFmtId="3" fontId="0" fillId="0" borderId="5" xfId="0" applyNumberFormat="1" applyFill="1" applyBorder="1" applyAlignment="1" applyProtection="1">
      <alignment vertical="top" wrapText="1"/>
      <protection hidden="1"/>
    </xf>
    <xf numFmtId="3" fontId="4" fillId="4" borderId="5" xfId="0" applyNumberFormat="1" applyFont="1" applyFill="1" applyBorder="1" applyAlignment="1" applyProtection="1">
      <alignment vertical="top" wrapText="1"/>
      <protection hidden="1"/>
    </xf>
    <xf numFmtId="3" fontId="4" fillId="3" borderId="5" xfId="0" applyNumberFormat="1" applyFont="1" applyFill="1" applyBorder="1" applyAlignment="1" applyProtection="1">
      <alignment vertical="top" wrapText="1"/>
      <protection hidden="1"/>
    </xf>
    <xf numFmtId="3" fontId="4" fillId="5" borderId="5" xfId="0" applyNumberFormat="1" applyFont="1" applyFill="1" applyBorder="1" applyAlignment="1" applyProtection="1">
      <alignment vertical="top" wrapText="1"/>
      <protection hidden="1"/>
    </xf>
    <xf numFmtId="3" fontId="4" fillId="0" borderId="5" xfId="0" applyNumberFormat="1" applyFont="1" applyFill="1" applyBorder="1" applyAlignment="1" applyProtection="1">
      <alignment vertical="top" wrapText="1"/>
      <protection hidden="1"/>
    </xf>
    <xf numFmtId="0" fontId="3" fillId="2" borderId="10" xfId="3" applyFont="1" applyFill="1" applyBorder="1" applyAlignment="1" applyProtection="1">
      <alignment horizontal="center" vertical="top"/>
      <protection hidden="1"/>
    </xf>
    <xf numFmtId="0" fontId="3" fillId="2" borderId="10" xfId="0" applyFont="1" applyBorder="1" applyAlignment="1" applyProtection="1">
      <alignment horizontal="center" vertical="top" wrapText="1"/>
      <protection hidden="1"/>
    </xf>
    <xf numFmtId="0" fontId="4" fillId="0" borderId="1" xfId="0" applyNumberFormat="1" applyFont="1" applyFill="1" applyBorder="1" applyAlignment="1" applyProtection="1">
      <alignment vertical="top" wrapText="1"/>
      <protection hidden="1"/>
    </xf>
    <xf numFmtId="0" fontId="4" fillId="2" borderId="0" xfId="0" applyNumberFormat="1" applyFont="1" applyBorder="1" applyAlignment="1" applyProtection="1">
      <alignment vertical="top" wrapText="1"/>
      <protection hidden="1"/>
    </xf>
    <xf numFmtId="0" fontId="0" fillId="2" borderId="0" xfId="0" applyFill="1" applyAlignment="1" applyProtection="1">
      <alignment horizontal="justify" vertical="top" wrapText="1"/>
      <protection hidden="1"/>
    </xf>
    <xf numFmtId="0" fontId="4" fillId="2" borderId="0" xfId="0" applyFont="1" applyFill="1" applyAlignment="1" applyProtection="1">
      <alignment horizontal="justify" vertical="top" wrapText="1"/>
      <protection hidden="1"/>
    </xf>
    <xf numFmtId="3" fontId="0" fillId="2" borderId="0" xfId="0" applyNumberFormat="1" applyProtection="1">
      <protection hidden="1"/>
    </xf>
    <xf numFmtId="3" fontId="3" fillId="2" borderId="0" xfId="0" applyNumberFormat="1" applyFont="1" applyAlignment="1" applyProtection="1">
      <alignment horizontal="center" wrapText="1"/>
      <protection hidden="1"/>
    </xf>
    <xf numFmtId="3" fontId="5" fillId="2" borderId="1" xfId="1" applyNumberFormat="1" applyFill="1" applyBorder="1" applyAlignment="1" applyProtection="1">
      <alignment horizontal="center" vertical="top" wrapText="1"/>
      <protection hidden="1"/>
    </xf>
    <xf numFmtId="3" fontId="12" fillId="2" borderId="1" xfId="1" applyNumberFormat="1" applyFont="1" applyFill="1" applyBorder="1" applyAlignment="1" applyProtection="1">
      <alignment horizontal="left" vertical="top" wrapText="1"/>
      <protection hidden="1"/>
    </xf>
    <xf numFmtId="3" fontId="5" fillId="2" borderId="1" xfId="1" applyNumberFormat="1" applyFill="1" applyBorder="1" applyAlignment="1" applyProtection="1">
      <alignment horizontal="left" vertical="top" wrapText="1"/>
      <protection hidden="1"/>
    </xf>
    <xf numFmtId="3" fontId="5" fillId="2" borderId="1" xfId="1" applyNumberFormat="1" applyFill="1" applyBorder="1" applyAlignment="1" applyProtection="1">
      <alignment horizontal="right" vertical="top" wrapText="1"/>
      <protection hidden="1"/>
    </xf>
    <xf numFmtId="3" fontId="0" fillId="2" borderId="6" xfId="0" applyNumberFormat="1" applyBorder="1" applyAlignment="1" applyProtection="1">
      <alignment vertical="top"/>
      <protection hidden="1"/>
    </xf>
    <xf numFmtId="3" fontId="4" fillId="2" borderId="7" xfId="1" applyNumberFormat="1" applyFont="1" applyFill="1" applyBorder="1" applyAlignment="1" applyProtection="1">
      <alignment horizontal="right" vertical="top" wrapText="1"/>
      <protection hidden="1"/>
    </xf>
    <xf numFmtId="3" fontId="0" fillId="2" borderId="9" xfId="0" applyNumberFormat="1" applyBorder="1" applyAlignment="1" applyProtection="1">
      <alignment vertical="top"/>
      <protection hidden="1"/>
    </xf>
    <xf numFmtId="3" fontId="4" fillId="2" borderId="1" xfId="1" applyNumberFormat="1" applyFont="1" applyFill="1" applyBorder="1" applyAlignment="1" applyProtection="1">
      <alignment horizontal="right" vertical="top" wrapText="1"/>
      <protection hidden="1"/>
    </xf>
    <xf numFmtId="3" fontId="3" fillId="2" borderId="1" xfId="1" applyNumberFormat="1" applyFont="1" applyFill="1" applyBorder="1" applyAlignment="1" applyProtection="1">
      <alignment horizontal="left" vertical="top" wrapText="1"/>
      <protection hidden="1"/>
    </xf>
    <xf numFmtId="3" fontId="3" fillId="2" borderId="10" xfId="0" applyNumberFormat="1" applyFont="1" applyBorder="1" applyAlignment="1" applyProtection="1">
      <alignment horizontal="center" vertical="top"/>
      <protection hidden="1"/>
    </xf>
    <xf numFmtId="3" fontId="4" fillId="0" borderId="1" xfId="1" applyNumberFormat="1" applyFont="1" applyFill="1" applyBorder="1" applyAlignment="1" applyProtection="1">
      <alignment horizontal="right" vertical="top" wrapText="1"/>
      <protection hidden="1"/>
    </xf>
    <xf numFmtId="3" fontId="3" fillId="2" borderId="1" xfId="0" applyNumberFormat="1" applyFont="1" applyFill="1" applyBorder="1" applyAlignment="1" applyProtection="1">
      <alignment horizontal="left" vertical="top"/>
      <protection hidden="1"/>
    </xf>
    <xf numFmtId="3" fontId="4" fillId="0" borderId="0" xfId="0" applyNumberFormat="1" applyFont="1" applyFill="1" applyBorder="1" applyAlignment="1" applyProtection="1">
      <alignment horizontal="center" vertical="top" wrapText="1"/>
      <protection hidden="1"/>
    </xf>
    <xf numFmtId="3" fontId="4" fillId="2" borderId="0" xfId="0" applyNumberFormat="1" applyFont="1" applyFill="1" applyBorder="1" applyAlignment="1" applyProtection="1">
      <alignment horizontal="left" vertical="top" wrapText="1"/>
      <protection hidden="1"/>
    </xf>
    <xf numFmtId="3" fontId="4" fillId="2" borderId="0" xfId="0" applyNumberFormat="1" applyFont="1" applyBorder="1" applyAlignment="1" applyProtection="1">
      <alignment wrapText="1"/>
      <protection hidden="1"/>
    </xf>
    <xf numFmtId="3" fontId="0" fillId="2" borderId="6" xfId="0" applyNumberFormat="1" applyBorder="1" applyProtection="1">
      <protection hidden="1"/>
    </xf>
    <xf numFmtId="3" fontId="0" fillId="2" borderId="0" xfId="0" applyNumberFormat="1" applyBorder="1" applyProtection="1">
      <protection hidden="1"/>
    </xf>
    <xf numFmtId="3" fontId="16" fillId="2" borderId="0" xfId="0" applyNumberFormat="1" applyFont="1" applyProtection="1">
      <protection hidden="1"/>
    </xf>
    <xf numFmtId="3" fontId="2" fillId="2" borderId="0" xfId="0" applyNumberFormat="1" applyFont="1" applyBorder="1" applyAlignment="1" applyProtection="1">
      <alignment vertical="top"/>
      <protection hidden="1"/>
    </xf>
    <xf numFmtId="3" fontId="16" fillId="2" borderId="0" xfId="0" applyNumberFormat="1" applyFont="1" applyAlignment="1" applyProtection="1">
      <alignment horizontal="left"/>
      <protection hidden="1"/>
    </xf>
    <xf numFmtId="3" fontId="5" fillId="2" borderId="0" xfId="1" applyNumberFormat="1" applyFill="1" applyBorder="1" applyAlignment="1" applyProtection="1">
      <alignment horizontal="center" vertical="top" wrapText="1"/>
      <protection hidden="1"/>
    </xf>
    <xf numFmtId="3" fontId="4" fillId="2" borderId="0" xfId="0" applyNumberFormat="1" applyFont="1" applyBorder="1" applyAlignment="1" applyProtection="1">
      <alignment horizontal="left" vertical="top" wrapText="1"/>
      <protection hidden="1"/>
    </xf>
    <xf numFmtId="3" fontId="0" fillId="2" borderId="0" xfId="0" applyNumberFormat="1" applyBorder="1" applyAlignment="1" applyProtection="1">
      <alignment vertical="top"/>
      <protection hidden="1"/>
    </xf>
    <xf numFmtId="3" fontId="4" fillId="2" borderId="0" xfId="1" applyNumberFormat="1" applyFont="1" applyFill="1" applyBorder="1" applyAlignment="1" applyProtection="1">
      <alignment horizontal="left" vertical="top" wrapText="1"/>
      <protection hidden="1"/>
    </xf>
    <xf numFmtId="3" fontId="4" fillId="0" borderId="0" xfId="1" applyNumberFormat="1" applyFont="1" applyFill="1" applyBorder="1" applyAlignment="1" applyProtection="1">
      <alignment horizontal="center" vertical="top" wrapText="1"/>
      <protection hidden="1"/>
    </xf>
    <xf numFmtId="3" fontId="3" fillId="3" borderId="10" xfId="1" applyNumberFormat="1" applyFont="1" applyFill="1" applyBorder="1" applyAlignment="1" applyProtection="1">
      <alignment horizontal="center" vertical="top" wrapText="1"/>
      <protection hidden="1"/>
    </xf>
    <xf numFmtId="3" fontId="3" fillId="0" borderId="5" xfId="1" applyNumberFormat="1" applyFont="1" applyFill="1" applyBorder="1" applyAlignment="1" applyProtection="1">
      <alignment horizontal="center" vertical="top" wrapText="1"/>
      <protection hidden="1"/>
    </xf>
    <xf numFmtId="3" fontId="3" fillId="0" borderId="6" xfId="1" applyNumberFormat="1" applyFont="1" applyFill="1" applyBorder="1" applyAlignment="1" applyProtection="1">
      <alignment horizontal="center" vertical="top" wrapText="1"/>
      <protection hidden="1"/>
    </xf>
    <xf numFmtId="3" fontId="4" fillId="3" borderId="6" xfId="1" applyNumberFormat="1" applyFont="1" applyFill="1" applyBorder="1" applyAlignment="1" applyProtection="1">
      <alignment horizontal="center" vertical="top" wrapText="1"/>
      <protection hidden="1"/>
    </xf>
    <xf numFmtId="3" fontId="4" fillId="0" borderId="5" xfId="1" applyNumberFormat="1" applyFont="1" applyFill="1" applyBorder="1" applyAlignment="1" applyProtection="1">
      <alignment horizontal="center" vertical="top" wrapText="1"/>
      <protection hidden="1"/>
    </xf>
    <xf numFmtId="3" fontId="4" fillId="0" borderId="6" xfId="1" applyNumberFormat="1" applyFont="1" applyFill="1" applyBorder="1" applyAlignment="1" applyProtection="1">
      <alignment horizontal="center" vertical="top" wrapText="1"/>
      <protection hidden="1"/>
    </xf>
    <xf numFmtId="3" fontId="4" fillId="2" borderId="0" xfId="1" applyNumberFormat="1" applyFont="1" applyFill="1" applyBorder="1" applyAlignment="1" applyProtection="1">
      <alignment horizontal="center" vertical="top" wrapText="1"/>
      <protection hidden="1"/>
    </xf>
    <xf numFmtId="3" fontId="4" fillId="0" borderId="8" xfId="1" applyNumberFormat="1" applyFont="1" applyFill="1" applyBorder="1" applyAlignment="1" applyProtection="1">
      <alignment horizontal="center" vertical="top" wrapText="1"/>
      <protection hidden="1"/>
    </xf>
    <xf numFmtId="3" fontId="4" fillId="2" borderId="8" xfId="1" applyNumberFormat="1" applyFont="1" applyFill="1" applyBorder="1" applyAlignment="1" applyProtection="1">
      <alignment horizontal="center" vertical="top" wrapText="1"/>
      <protection hidden="1"/>
    </xf>
    <xf numFmtId="3" fontId="3" fillId="0" borderId="10" xfId="1" applyNumberFormat="1" applyFont="1" applyFill="1" applyBorder="1" applyAlignment="1" applyProtection="1">
      <alignment horizontal="center" vertical="top" wrapText="1"/>
      <protection hidden="1"/>
    </xf>
    <xf numFmtId="3" fontId="3" fillId="2" borderId="10" xfId="1" applyNumberFormat="1" applyFont="1" applyFill="1" applyBorder="1" applyAlignment="1" applyProtection="1">
      <alignment horizontal="center" vertical="top" wrapText="1"/>
      <protection hidden="1"/>
    </xf>
    <xf numFmtId="3" fontId="0" fillId="2" borderId="5" xfId="0" applyNumberFormat="1" applyBorder="1" applyAlignment="1" applyProtection="1">
      <alignment vertical="top"/>
      <protection hidden="1"/>
    </xf>
    <xf numFmtId="3" fontId="0" fillId="2" borderId="1" xfId="0" applyNumberFormat="1" applyBorder="1" applyProtection="1">
      <protection hidden="1"/>
    </xf>
    <xf numFmtId="3" fontId="3" fillId="3" borderId="9" xfId="1" applyNumberFormat="1" applyFont="1" applyFill="1" applyBorder="1" applyAlignment="1" applyProtection="1">
      <alignment horizontal="center" vertical="top" wrapText="1"/>
      <protection hidden="1"/>
    </xf>
    <xf numFmtId="3" fontId="3" fillId="3" borderId="5" xfId="1" applyNumberFormat="1" applyFont="1" applyFill="1" applyBorder="1" applyAlignment="1" applyProtection="1">
      <alignment horizontal="center" vertical="top" wrapText="1"/>
      <protection hidden="1"/>
    </xf>
    <xf numFmtId="3" fontId="3" fillId="3" borderId="6" xfId="1" applyNumberFormat="1" applyFont="1" applyFill="1" applyBorder="1" applyAlignment="1" applyProtection="1">
      <alignment horizontal="center" vertical="top" wrapText="1"/>
      <protection hidden="1"/>
    </xf>
    <xf numFmtId="9" fontId="4" fillId="6" borderId="2" xfId="1" applyNumberFormat="1" applyFont="1" applyFill="1" applyBorder="1" applyAlignment="1" applyProtection="1">
      <alignment horizontal="center" vertical="top" wrapText="1"/>
      <protection locked="0" hidden="1"/>
    </xf>
    <xf numFmtId="9" fontId="4" fillId="6" borderId="11" xfId="1" applyNumberFormat="1" applyFont="1" applyFill="1" applyBorder="1" applyAlignment="1" applyProtection="1">
      <alignment horizontal="center" vertical="top" wrapText="1"/>
      <protection locked="0" hidden="1"/>
    </xf>
    <xf numFmtId="9" fontId="4" fillId="6" borderId="5" xfId="1" applyNumberFormat="1" applyFont="1" applyFill="1" applyBorder="1" applyAlignment="1" applyProtection="1">
      <alignment horizontal="center" vertical="top" wrapText="1"/>
      <protection locked="0" hidden="1"/>
    </xf>
    <xf numFmtId="9" fontId="4" fillId="6" borderId="6" xfId="1" applyNumberFormat="1" applyFont="1" applyFill="1" applyBorder="1" applyAlignment="1" applyProtection="1">
      <alignment horizontal="center" vertical="top" wrapText="1"/>
      <protection locked="0" hidden="1"/>
    </xf>
    <xf numFmtId="9" fontId="4" fillId="6" borderId="3" xfId="1" applyNumberFormat="1" applyFont="1" applyFill="1" applyBorder="1" applyAlignment="1" applyProtection="1">
      <alignment horizontal="center" vertical="top" wrapText="1"/>
      <protection locked="0" hidden="1"/>
    </xf>
    <xf numFmtId="9" fontId="4" fillId="6" borderId="9" xfId="1" applyNumberFormat="1" applyFont="1" applyFill="1" applyBorder="1" applyAlignment="1" applyProtection="1">
      <alignment horizontal="center" vertical="top" wrapText="1"/>
      <protection locked="0" hidden="1"/>
    </xf>
    <xf numFmtId="3" fontId="3" fillId="2" borderId="1" xfId="3" applyNumberFormat="1" applyFont="1" applyFill="1" applyBorder="1" applyAlignment="1" applyProtection="1">
      <protection hidden="1"/>
    </xf>
    <xf numFmtId="3" fontId="3" fillId="2" borderId="1" xfId="3" applyNumberFormat="1" applyFont="1" applyFill="1" applyBorder="1" applyAlignment="1" applyProtection="1">
      <alignment horizontal="right"/>
      <protection hidden="1"/>
    </xf>
    <xf numFmtId="3" fontId="3" fillId="2" borderId="0" xfId="3" applyNumberFormat="1" applyFont="1" applyFill="1" applyAlignment="1" applyProtection="1">
      <protection hidden="1"/>
    </xf>
    <xf numFmtId="3" fontId="3" fillId="2" borderId="1" xfId="3" applyNumberFormat="1" applyFont="1" applyFill="1" applyBorder="1" applyAlignment="1" applyProtection="1">
      <alignment vertical="top"/>
      <protection hidden="1"/>
    </xf>
    <xf numFmtId="0" fontId="4" fillId="2" borderId="12" xfId="3" applyFont="1" applyFill="1" applyBorder="1" applyAlignment="1" applyProtection="1">
      <alignment horizontal="center" vertical="top"/>
      <protection hidden="1"/>
    </xf>
    <xf numFmtId="0" fontId="3" fillId="2" borderId="4" xfId="3" applyFont="1" applyFill="1" applyBorder="1" applyAlignment="1" applyProtection="1">
      <alignment horizontal="center" vertical="top"/>
      <protection hidden="1"/>
    </xf>
    <xf numFmtId="3" fontId="4" fillId="2" borderId="1" xfId="3" applyNumberFormat="1" applyFont="1" applyFill="1" applyBorder="1" applyAlignment="1" applyProtection="1">
      <alignment horizontal="right"/>
      <protection hidden="1"/>
    </xf>
    <xf numFmtId="3" fontId="3" fillId="2" borderId="1" xfId="3" applyNumberFormat="1" applyFont="1" applyFill="1" applyBorder="1" applyAlignment="1" applyProtection="1">
      <alignment horizontal="left"/>
      <protection hidden="1"/>
    </xf>
    <xf numFmtId="0" fontId="4" fillId="0" borderId="0" xfId="3" applyFont="1" applyFill="1" applyBorder="1" applyAlignment="1" applyProtection="1">
      <alignment horizontal="right" wrapText="1"/>
      <protection hidden="1"/>
    </xf>
    <xf numFmtId="0" fontId="4" fillId="0" borderId="0" xfId="3" applyFont="1" applyFill="1" applyProtection="1">
      <alignment vertical="top"/>
      <protection hidden="1"/>
    </xf>
    <xf numFmtId="0" fontId="2" fillId="0" borderId="0" xfId="3" applyFill="1" applyProtection="1">
      <alignment vertical="top"/>
      <protection hidden="1"/>
    </xf>
    <xf numFmtId="0" fontId="9" fillId="0" borderId="0" xfId="3" applyFont="1" applyFill="1" applyBorder="1" applyAlignment="1" applyProtection="1">
      <alignment wrapText="1"/>
      <protection hidden="1"/>
    </xf>
    <xf numFmtId="0" fontId="4" fillId="0" borderId="0" xfId="3" applyFont="1" applyFill="1" applyAlignment="1" applyProtection="1">
      <alignment wrapText="1"/>
      <protection hidden="1"/>
    </xf>
    <xf numFmtId="3" fontId="3" fillId="0" borderId="4" xfId="3" applyNumberFormat="1" applyFont="1" applyFill="1" applyBorder="1" applyAlignment="1" applyProtection="1">
      <alignment horizontal="center" vertical="top"/>
      <protection hidden="1"/>
    </xf>
    <xf numFmtId="0" fontId="3" fillId="0" borderId="11" xfId="3" applyFont="1" applyFill="1" applyBorder="1" applyAlignment="1" applyProtection="1">
      <alignment horizontal="center" vertical="top" wrapText="1"/>
      <protection hidden="1"/>
    </xf>
    <xf numFmtId="0" fontId="3" fillId="0" borderId="2" xfId="3" applyFont="1" applyFill="1" applyBorder="1" applyAlignment="1" applyProtection="1">
      <alignment horizontal="center" vertical="top" wrapText="1"/>
      <protection hidden="1"/>
    </xf>
    <xf numFmtId="3" fontId="3" fillId="0" borderId="5" xfId="3" applyNumberFormat="1" applyFont="1" applyFill="1" applyBorder="1" applyAlignment="1" applyProtection="1">
      <alignment horizontal="right" vertical="top"/>
      <protection hidden="1"/>
    </xf>
    <xf numFmtId="9" fontId="4" fillId="0" borderId="13" xfId="3" applyNumberFormat="1" applyFont="1" applyFill="1" applyBorder="1" applyAlignment="1" applyProtection="1">
      <alignment horizontal="center" wrapText="1"/>
      <protection hidden="1"/>
    </xf>
    <xf numFmtId="9" fontId="4" fillId="0" borderId="0" xfId="3" applyNumberFormat="1" applyFont="1" applyFill="1" applyBorder="1" applyAlignment="1" applyProtection="1">
      <alignment horizontal="center" wrapText="1"/>
      <protection hidden="1"/>
    </xf>
    <xf numFmtId="9" fontId="4" fillId="0" borderId="6" xfId="3" applyNumberFormat="1" applyFont="1" applyFill="1" applyBorder="1" applyAlignment="1" applyProtection="1">
      <alignment horizontal="center" wrapText="1"/>
      <protection hidden="1"/>
    </xf>
    <xf numFmtId="3" fontId="3" fillId="0" borderId="3" xfId="3" applyNumberFormat="1" applyFont="1" applyFill="1" applyBorder="1" applyAlignment="1" applyProtection="1">
      <alignment horizontal="right" vertical="top"/>
      <protection hidden="1"/>
    </xf>
    <xf numFmtId="2" fontId="4" fillId="0" borderId="2" xfId="3" applyNumberFormat="1" applyFont="1" applyFill="1" applyBorder="1" applyAlignment="1" applyProtection="1">
      <alignment horizontal="center" wrapText="1"/>
      <protection hidden="1"/>
    </xf>
    <xf numFmtId="3" fontId="3" fillId="0" borderId="4" xfId="3" applyNumberFormat="1" applyFont="1" applyFill="1" applyBorder="1" applyAlignment="1" applyProtection="1">
      <alignment horizontal="right" vertical="top"/>
      <protection hidden="1"/>
    </xf>
    <xf numFmtId="0" fontId="3" fillId="0" borderId="1" xfId="3" applyFont="1" applyFill="1" applyBorder="1" applyAlignment="1" applyProtection="1">
      <protection hidden="1"/>
    </xf>
    <xf numFmtId="3" fontId="4" fillId="0" borderId="4" xfId="3" applyNumberFormat="1" applyFont="1" applyFill="1" applyBorder="1" applyAlignment="1" applyProtection="1">
      <alignment horizontal="right" vertical="top"/>
      <protection hidden="1"/>
    </xf>
    <xf numFmtId="3" fontId="4" fillId="0" borderId="10" xfId="3" applyNumberFormat="1" applyFont="1" applyFill="1" applyBorder="1" applyAlignment="1" applyProtection="1">
      <alignment horizontal="right" vertical="top"/>
      <protection hidden="1"/>
    </xf>
    <xf numFmtId="0" fontId="3" fillId="0" borderId="2" xfId="3" applyFont="1" applyFill="1" applyBorder="1" applyAlignment="1" applyProtection="1">
      <alignment horizontal="right" vertical="top"/>
      <protection hidden="1"/>
    </xf>
    <xf numFmtId="3" fontId="4" fillId="0" borderId="2" xfId="3" applyNumberFormat="1" applyFont="1" applyFill="1" applyBorder="1" applyAlignment="1" applyProtection="1">
      <alignment horizontal="right" vertical="top" wrapText="1"/>
      <protection hidden="1"/>
    </xf>
    <xf numFmtId="0" fontId="3" fillId="0" borderId="5" xfId="3" applyFont="1" applyFill="1" applyBorder="1" applyAlignment="1" applyProtection="1">
      <alignment horizontal="right" vertical="top"/>
      <protection hidden="1"/>
    </xf>
    <xf numFmtId="3" fontId="4" fillId="0" borderId="5" xfId="3" applyNumberFormat="1" applyFont="1" applyFill="1" applyBorder="1" applyAlignment="1" applyProtection="1">
      <alignment horizontal="right" vertical="top" wrapText="1"/>
      <protection hidden="1"/>
    </xf>
    <xf numFmtId="164" fontId="4" fillId="0" borderId="5" xfId="3" applyNumberFormat="1" applyFont="1" applyFill="1" applyBorder="1" applyAlignment="1" applyProtection="1">
      <alignment horizontal="right" vertical="top" wrapText="1"/>
      <protection hidden="1"/>
    </xf>
    <xf numFmtId="9" fontId="3" fillId="0" borderId="0" xfId="3" applyNumberFormat="1" applyFont="1" applyFill="1" applyBorder="1" applyAlignment="1" applyProtection="1">
      <alignment horizontal="center" wrapText="1"/>
      <protection hidden="1"/>
    </xf>
    <xf numFmtId="0" fontId="3" fillId="0" borderId="3" xfId="3" applyFont="1" applyFill="1" applyBorder="1" applyAlignment="1" applyProtection="1">
      <alignment horizontal="right" vertical="top"/>
      <protection hidden="1"/>
    </xf>
    <xf numFmtId="164" fontId="4" fillId="0" borderId="3" xfId="3" applyNumberFormat="1" applyFont="1" applyFill="1" applyBorder="1" applyAlignment="1" applyProtection="1">
      <alignment horizontal="right" vertical="top" wrapText="1"/>
      <protection hidden="1"/>
    </xf>
    <xf numFmtId="10" fontId="4" fillId="0" borderId="0" xfId="3" applyNumberFormat="1" applyFont="1" applyFill="1" applyBorder="1" applyAlignment="1" applyProtection="1">
      <alignment wrapText="1"/>
      <protection hidden="1"/>
    </xf>
    <xf numFmtId="0" fontId="6" fillId="0" borderId="0" xfId="3" applyFont="1" applyFill="1" applyProtection="1">
      <alignment vertical="top"/>
      <protection hidden="1"/>
    </xf>
    <xf numFmtId="0" fontId="4" fillId="0" borderId="0" xfId="3" applyFont="1" applyFill="1" applyBorder="1" applyProtection="1">
      <alignment vertical="top"/>
      <protection hidden="1"/>
    </xf>
    <xf numFmtId="0" fontId="3" fillId="0" borderId="14" xfId="3" applyFont="1" applyFill="1" applyBorder="1" applyAlignment="1" applyProtection="1">
      <protection hidden="1"/>
    </xf>
    <xf numFmtId="0" fontId="3" fillId="0" borderId="11" xfId="3" applyFont="1" applyFill="1" applyBorder="1" applyAlignment="1" applyProtection="1">
      <protection hidden="1"/>
    </xf>
    <xf numFmtId="3" fontId="2" fillId="0" borderId="11" xfId="3" applyNumberFormat="1" applyFill="1" applyBorder="1" applyProtection="1">
      <alignment vertical="top"/>
      <protection hidden="1"/>
    </xf>
    <xf numFmtId="3" fontId="3" fillId="0" borderId="1" xfId="3" applyNumberFormat="1" applyFont="1" applyFill="1" applyBorder="1" applyAlignment="1" applyProtection="1">
      <protection hidden="1"/>
    </xf>
    <xf numFmtId="0" fontId="3" fillId="0" borderId="6" xfId="3" applyFont="1" applyFill="1" applyBorder="1" applyAlignment="1" applyProtection="1">
      <protection hidden="1"/>
    </xf>
    <xf numFmtId="3" fontId="2" fillId="0" borderId="6" xfId="3" applyNumberFormat="1" applyFill="1" applyBorder="1" applyProtection="1">
      <alignment vertical="top"/>
      <protection hidden="1"/>
    </xf>
    <xf numFmtId="3" fontId="4" fillId="0" borderId="0" xfId="3" applyNumberFormat="1" applyFont="1" applyFill="1" applyProtection="1">
      <alignment vertical="top"/>
      <protection hidden="1"/>
    </xf>
    <xf numFmtId="3" fontId="3" fillId="0" borderId="7" xfId="3" applyNumberFormat="1" applyFont="1" applyFill="1" applyBorder="1" applyAlignment="1" applyProtection="1">
      <protection hidden="1"/>
    </xf>
    <xf numFmtId="0" fontId="4" fillId="0" borderId="0" xfId="3" applyFont="1" applyFill="1" applyBorder="1" applyAlignment="1" applyProtection="1">
      <alignment horizontal="left" vertical="top" wrapText="1"/>
      <protection hidden="1"/>
    </xf>
    <xf numFmtId="0" fontId="4" fillId="0" borderId="0" xfId="3" applyFont="1" applyFill="1" applyBorder="1" applyAlignment="1" applyProtection="1">
      <alignment horizontal="left"/>
      <protection hidden="1"/>
    </xf>
    <xf numFmtId="164" fontId="4" fillId="0" borderId="0" xfId="3" applyNumberFormat="1" applyFont="1" applyFill="1" applyBorder="1" applyProtection="1">
      <alignment vertical="top"/>
      <protection hidden="1"/>
    </xf>
    <xf numFmtId="0" fontId="6" fillId="0" borderId="0" xfId="3" applyFont="1" applyFill="1" applyBorder="1" applyAlignment="1" applyProtection="1">
      <alignment horizontal="left" vertical="top" wrapText="1"/>
      <protection hidden="1"/>
    </xf>
    <xf numFmtId="0" fontId="4" fillId="0" borderId="2" xfId="3" applyFont="1" applyFill="1" applyBorder="1" applyAlignment="1" applyProtection="1">
      <alignment vertical="top"/>
      <protection hidden="1"/>
    </xf>
    <xf numFmtId="0" fontId="3" fillId="0" borderId="4" xfId="3" applyFont="1" applyFill="1" applyBorder="1" applyAlignment="1" applyProtection="1">
      <alignment horizontal="center" vertical="top" wrapText="1"/>
      <protection hidden="1"/>
    </xf>
    <xf numFmtId="0" fontId="2" fillId="0" borderId="0" xfId="3" applyFill="1" applyAlignment="1" applyProtection="1">
      <alignment vertical="top"/>
      <protection hidden="1"/>
    </xf>
    <xf numFmtId="3" fontId="3" fillId="0" borderId="2" xfId="3" applyNumberFormat="1" applyFont="1" applyFill="1" applyBorder="1" applyAlignment="1" applyProtection="1">
      <protection hidden="1"/>
    </xf>
    <xf numFmtId="3" fontId="4" fillId="0" borderId="5" xfId="3" applyNumberFormat="1" applyFont="1" applyFill="1" applyBorder="1" applyProtection="1">
      <alignment vertical="top"/>
      <protection hidden="1"/>
    </xf>
    <xf numFmtId="3" fontId="3" fillId="0" borderId="5" xfId="3" applyNumberFormat="1" applyFont="1" applyFill="1" applyBorder="1" applyProtection="1">
      <alignment vertical="top"/>
      <protection hidden="1"/>
    </xf>
    <xf numFmtId="0" fontId="3" fillId="0" borderId="5" xfId="3" applyFont="1" applyFill="1" applyBorder="1" applyAlignment="1" applyProtection="1">
      <alignment horizontal="left" vertical="top"/>
      <protection hidden="1"/>
    </xf>
    <xf numFmtId="0" fontId="4" fillId="0" borderId="5" xfId="3" applyFont="1" applyFill="1" applyBorder="1" applyProtection="1">
      <alignment vertical="top"/>
      <protection hidden="1"/>
    </xf>
    <xf numFmtId="164" fontId="4" fillId="0" borderId="6" xfId="3" applyNumberFormat="1" applyFont="1" applyFill="1" applyBorder="1" applyAlignment="1" applyProtection="1">
      <alignment horizontal="right" vertical="top" wrapText="1"/>
      <protection hidden="1"/>
    </xf>
    <xf numFmtId="0" fontId="3" fillId="0" borderId="5" xfId="3" applyFont="1" applyFill="1" applyBorder="1" applyAlignment="1" applyProtection="1">
      <alignment horizontal="center" vertical="top"/>
      <protection hidden="1"/>
    </xf>
    <xf numFmtId="3" fontId="2" fillId="0" borderId="5" xfId="3" applyNumberFormat="1" applyFill="1" applyBorder="1" applyProtection="1">
      <alignment vertical="top"/>
      <protection hidden="1"/>
    </xf>
    <xf numFmtId="3" fontId="6" fillId="0" borderId="5" xfId="3" applyNumberFormat="1" applyFont="1" applyFill="1" applyBorder="1" applyProtection="1">
      <alignment vertical="top"/>
      <protection hidden="1"/>
    </xf>
    <xf numFmtId="164" fontId="4" fillId="0" borderId="5" xfId="3" applyNumberFormat="1" applyFont="1" applyFill="1" applyBorder="1" applyProtection="1">
      <alignment vertical="top"/>
      <protection hidden="1"/>
    </xf>
    <xf numFmtId="0" fontId="3" fillId="0" borderId="0" xfId="3" applyFont="1" applyFill="1" applyBorder="1" applyAlignment="1" applyProtection="1">
      <alignment horizontal="left" vertical="top"/>
      <protection hidden="1"/>
    </xf>
    <xf numFmtId="3" fontId="4" fillId="0" borderId="0" xfId="3" applyNumberFormat="1" applyFont="1" applyFill="1" applyBorder="1" applyAlignment="1" applyProtection="1">
      <alignment horizontal="right"/>
      <protection hidden="1"/>
    </xf>
    <xf numFmtId="3" fontId="4" fillId="0" borderId="0" xfId="3" applyNumberFormat="1" applyFont="1" applyFill="1" applyBorder="1" applyAlignment="1" applyProtection="1">
      <protection hidden="1"/>
    </xf>
    <xf numFmtId="9" fontId="3" fillId="3" borderId="0" xfId="3" applyNumberFormat="1" applyFont="1" applyFill="1" applyAlignment="1" applyProtection="1">
      <alignment horizontal="center" wrapText="1"/>
      <protection hidden="1"/>
    </xf>
    <xf numFmtId="3" fontId="4" fillId="0" borderId="6" xfId="3" applyNumberFormat="1" applyFont="1" applyFill="1" applyBorder="1" applyProtection="1">
      <alignment vertical="top"/>
      <protection hidden="1"/>
    </xf>
    <xf numFmtId="3" fontId="3" fillId="0" borderId="1" xfId="3" applyNumberFormat="1" applyFont="1" applyFill="1" applyBorder="1" applyAlignment="1" applyProtection="1">
      <alignment horizontal="right" vertical="top"/>
      <protection hidden="1"/>
    </xf>
    <xf numFmtId="9" fontId="4" fillId="0" borderId="1" xfId="3" applyNumberFormat="1" applyFont="1" applyFill="1" applyBorder="1" applyAlignment="1" applyProtection="1">
      <alignment horizontal="center" wrapText="1"/>
      <protection hidden="1"/>
    </xf>
    <xf numFmtId="3" fontId="3" fillId="3" borderId="5" xfId="3" applyNumberFormat="1" applyFont="1" applyFill="1" applyBorder="1" applyProtection="1">
      <alignment vertical="top"/>
      <protection hidden="1"/>
    </xf>
    <xf numFmtId="0" fontId="6" fillId="2" borderId="1" xfId="3" applyFont="1" applyFill="1" applyBorder="1" applyAlignment="1" applyProtection="1">
      <protection hidden="1"/>
    </xf>
    <xf numFmtId="0" fontId="6" fillId="2" borderId="0" xfId="3" applyFont="1" applyFill="1" applyBorder="1" applyAlignment="1" applyProtection="1">
      <alignment wrapText="1"/>
      <protection hidden="1"/>
    </xf>
    <xf numFmtId="0" fontId="7" fillId="2" borderId="0" xfId="3" applyFont="1" applyFill="1" applyBorder="1" applyAlignment="1" applyProtection="1">
      <alignment horizontal="center" wrapText="1"/>
      <protection hidden="1"/>
    </xf>
    <xf numFmtId="0" fontId="4" fillId="2" borderId="6" xfId="3" applyFont="1" applyFill="1" applyBorder="1" applyAlignment="1" applyProtection="1">
      <alignment wrapText="1"/>
      <protection hidden="1"/>
    </xf>
    <xf numFmtId="9" fontId="3" fillId="3" borderId="0" xfId="3" applyNumberFormat="1" applyFont="1" applyFill="1" applyBorder="1" applyAlignment="1" applyProtection="1">
      <alignment horizontal="center" wrapText="1"/>
      <protection hidden="1"/>
    </xf>
    <xf numFmtId="9" fontId="4" fillId="6" borderId="0" xfId="1" applyNumberFormat="1" applyFont="1" applyFill="1" applyBorder="1" applyAlignment="1" applyProtection="1">
      <alignment horizontal="center" vertical="top" wrapText="1"/>
      <protection locked="0" hidden="1"/>
    </xf>
    <xf numFmtId="3" fontId="4" fillId="6" borderId="0" xfId="1" applyNumberFormat="1" applyFont="1" applyFill="1" applyBorder="1" applyAlignment="1" applyProtection="1">
      <alignment horizontal="center" vertical="top" wrapText="1"/>
      <protection locked="0" hidden="1"/>
    </xf>
    <xf numFmtId="0" fontId="3" fillId="2" borderId="12" xfId="3" applyFont="1" applyFill="1" applyBorder="1" applyAlignment="1" applyProtection="1">
      <alignment horizontal="center" vertical="top"/>
      <protection hidden="1"/>
    </xf>
    <xf numFmtId="0" fontId="2" fillId="2" borderId="6" xfId="3" applyBorder="1" applyProtection="1">
      <alignment vertical="top"/>
      <protection hidden="1"/>
    </xf>
    <xf numFmtId="3" fontId="5" fillId="2" borderId="5" xfId="1" applyNumberFormat="1" applyFill="1" applyBorder="1" applyAlignment="1" applyProtection="1">
      <alignment horizontal="right" vertical="top" wrapText="1"/>
      <protection hidden="1"/>
    </xf>
    <xf numFmtId="3" fontId="5" fillId="2" borderId="5" xfId="1" applyNumberFormat="1" applyFill="1" applyBorder="1" applyAlignment="1" applyProtection="1">
      <alignment horizontal="left" vertical="top" wrapText="1"/>
      <protection hidden="1"/>
    </xf>
    <xf numFmtId="0" fontId="0" fillId="6" borderId="10" xfId="0" applyFill="1" applyBorder="1" applyAlignment="1" applyProtection="1">
      <alignment horizontal="justify" vertical="top" wrapText="1"/>
      <protection hidden="1"/>
    </xf>
    <xf numFmtId="0" fontId="0" fillId="6" borderId="9" xfId="0" applyFill="1" applyBorder="1" applyAlignment="1" applyProtection="1">
      <alignment horizontal="justify" vertical="top" wrapText="1"/>
      <protection hidden="1"/>
    </xf>
    <xf numFmtId="0" fontId="0" fillId="3" borderId="9" xfId="0" applyFill="1" applyBorder="1" applyAlignment="1" applyProtection="1">
      <alignment horizontal="justify" vertical="top" wrapText="1"/>
      <protection hidden="1"/>
    </xf>
    <xf numFmtId="3" fontId="5" fillId="2" borderId="1" xfId="1" applyNumberFormat="1" applyFill="1" applyBorder="1" applyAlignment="1" applyProtection="1">
      <alignment horizontal="right" vertical="center"/>
      <protection hidden="1"/>
    </xf>
    <xf numFmtId="0" fontId="5" fillId="2" borderId="1" xfId="1" applyFill="1" applyBorder="1" applyAlignment="1" applyProtection="1">
      <alignment horizontal="right" vertical="top"/>
      <protection hidden="1"/>
    </xf>
    <xf numFmtId="0" fontId="5" fillId="2" borderId="1" xfId="1" applyFill="1" applyBorder="1" applyAlignment="1" applyProtection="1">
      <alignment horizontal="right" vertical="top" wrapText="1"/>
      <protection hidden="1"/>
    </xf>
    <xf numFmtId="0" fontId="0" fillId="0" borderId="9" xfId="0" applyFill="1" applyBorder="1" applyAlignment="1" applyProtection="1">
      <alignment horizontal="left" vertical="top" wrapText="1"/>
      <protection hidden="1"/>
    </xf>
    <xf numFmtId="0" fontId="0" fillId="6" borderId="10" xfId="0" applyFill="1" applyBorder="1" applyAlignment="1" applyProtection="1">
      <alignment horizontal="left" vertical="top" wrapText="1"/>
      <protection hidden="1"/>
    </xf>
    <xf numFmtId="0" fontId="0" fillId="6" borderId="9" xfId="0" applyFill="1" applyBorder="1" applyAlignment="1" applyProtection="1">
      <alignment horizontal="left" vertical="top" wrapText="1"/>
      <protection hidden="1"/>
    </xf>
    <xf numFmtId="0" fontId="0" fillId="3" borderId="9" xfId="0" applyFill="1" applyBorder="1" applyAlignment="1" applyProtection="1">
      <alignment horizontal="left" vertical="top" wrapText="1"/>
      <protection hidden="1"/>
    </xf>
    <xf numFmtId="0" fontId="0" fillId="2" borderId="10" xfId="0" applyFill="1" applyBorder="1" applyAlignment="1" applyProtection="1">
      <alignment horizontal="left" vertical="top" wrapText="1"/>
      <protection hidden="1"/>
    </xf>
    <xf numFmtId="0" fontId="0" fillId="3" borderId="6" xfId="0" applyFill="1" applyBorder="1" applyAlignment="1" applyProtection="1">
      <alignment horizontal="left" vertical="top" wrapText="1"/>
      <protection hidden="1"/>
    </xf>
    <xf numFmtId="0" fontId="0" fillId="3" borderId="11" xfId="0" applyFill="1" applyBorder="1" applyAlignment="1" applyProtection="1">
      <alignment horizontal="justify" vertical="top" wrapText="1"/>
      <protection hidden="1"/>
    </xf>
    <xf numFmtId="0" fontId="0" fillId="3" borderId="10" xfId="0" applyFill="1" applyBorder="1" applyAlignment="1" applyProtection="1">
      <alignment horizontal="justify" vertical="top" wrapText="1"/>
      <protection hidden="1"/>
    </xf>
    <xf numFmtId="0" fontId="0" fillId="2" borderId="9" xfId="0" applyFill="1" applyBorder="1" applyAlignment="1" applyProtection="1">
      <alignment horizontal="justify" vertical="top" wrapText="1"/>
      <protection hidden="1"/>
    </xf>
    <xf numFmtId="0" fontId="0" fillId="3" borderId="10" xfId="0" applyFill="1" applyBorder="1" applyAlignment="1" applyProtection="1">
      <alignment horizontal="left" vertical="top" wrapText="1"/>
      <protection hidden="1"/>
    </xf>
    <xf numFmtId="3" fontId="12" fillId="2" borderId="2" xfId="1" applyNumberFormat="1" applyFont="1" applyFill="1" applyBorder="1" applyAlignment="1" applyProtection="1">
      <alignment horizontal="left" vertical="top" wrapText="1"/>
      <protection hidden="1"/>
    </xf>
    <xf numFmtId="3" fontId="12" fillId="2" borderId="5" xfId="1" applyNumberFormat="1" applyFont="1" applyFill="1" applyBorder="1" applyAlignment="1" applyProtection="1">
      <alignment horizontal="left" vertical="top" wrapText="1"/>
      <protection hidden="1"/>
    </xf>
    <xf numFmtId="0" fontId="12" fillId="2" borderId="5" xfId="1" applyNumberFormat="1" applyFont="1" applyFill="1" applyBorder="1" applyAlignment="1" applyProtection="1">
      <alignment horizontal="left" vertical="top" wrapText="1"/>
      <protection hidden="1"/>
    </xf>
    <xf numFmtId="3" fontId="12" fillId="2" borderId="5" xfId="1" applyNumberFormat="1" applyFont="1" applyFill="1" applyBorder="1" applyAlignment="1" applyProtection="1">
      <alignment horizontal="right" vertical="top" wrapText="1"/>
      <protection hidden="1"/>
    </xf>
    <xf numFmtId="3" fontId="12" fillId="2" borderId="3" xfId="1" applyNumberFormat="1" applyFont="1" applyFill="1" applyBorder="1" applyAlignment="1" applyProtection="1">
      <alignment horizontal="right" vertical="top" wrapText="1"/>
      <protection hidden="1"/>
    </xf>
    <xf numFmtId="0" fontId="5" fillId="2" borderId="5" xfId="1" applyFill="1" applyBorder="1" applyAlignment="1" applyProtection="1">
      <alignment horizontal="right" vertical="top" wrapText="1"/>
      <protection hidden="1"/>
    </xf>
    <xf numFmtId="0" fontId="5" fillId="2" borderId="0" xfId="1" applyNumberFormat="1" applyFill="1" applyBorder="1" applyAlignment="1" applyProtection="1">
      <alignment horizontal="justify" vertical="top" wrapText="1"/>
      <protection hidden="1"/>
    </xf>
    <xf numFmtId="0" fontId="0" fillId="2" borderId="8" xfId="0" applyFill="1" applyBorder="1" applyAlignment="1" applyProtection="1">
      <alignment horizontal="justify" vertical="top" wrapText="1"/>
      <protection hidden="1"/>
    </xf>
    <xf numFmtId="0" fontId="4" fillId="2" borderId="0" xfId="1" applyNumberFormat="1" applyFont="1" applyFill="1" applyBorder="1" applyAlignment="1" applyProtection="1">
      <alignment horizontal="justify" vertical="top" wrapText="1"/>
      <protection hidden="1"/>
    </xf>
    <xf numFmtId="0" fontId="5" fillId="2" borderId="5" xfId="1" applyFont="1" applyFill="1" applyBorder="1" applyAlignment="1" applyProtection="1">
      <alignment horizontal="right" vertical="top" wrapText="1"/>
      <protection hidden="1"/>
    </xf>
    <xf numFmtId="49" fontId="4" fillId="2" borderId="0" xfId="2" applyNumberFormat="1" applyFont="1" applyProtection="1">
      <alignment vertical="top"/>
      <protection hidden="1"/>
    </xf>
    <xf numFmtId="0" fontId="4" fillId="2" borderId="10" xfId="0" applyNumberFormat="1" applyFont="1" applyBorder="1" applyAlignment="1" applyProtection="1">
      <alignment horizontal="left" vertical="top" wrapText="1"/>
      <protection hidden="1"/>
    </xf>
    <xf numFmtId="0" fontId="4" fillId="6" borderId="9" xfId="0" applyNumberFormat="1" applyFont="1" applyFill="1" applyBorder="1" applyAlignment="1" applyProtection="1">
      <alignment horizontal="left" vertical="top" wrapText="1"/>
      <protection hidden="1"/>
    </xf>
    <xf numFmtId="0" fontId="4" fillId="2" borderId="0" xfId="2" applyNumberFormat="1" applyFont="1" applyAlignment="1" applyProtection="1">
      <alignment horizontal="justify" vertical="top" wrapText="1"/>
      <protection hidden="1"/>
    </xf>
    <xf numFmtId="3" fontId="7" fillId="2" borderId="0" xfId="0" applyNumberFormat="1" applyFont="1" applyAlignment="1" applyProtection="1">
      <alignment horizontal="left"/>
      <protection hidden="1"/>
    </xf>
    <xf numFmtId="3" fontId="7" fillId="2" borderId="0" xfId="0" applyNumberFormat="1" applyFont="1" applyFill="1" applyBorder="1" applyAlignment="1" applyProtection="1">
      <alignment horizontal="left" vertical="center" wrapText="1"/>
      <protection hidden="1"/>
    </xf>
    <xf numFmtId="3" fontId="18" fillId="2" borderId="5" xfId="1" applyNumberFormat="1" applyFont="1" applyFill="1" applyBorder="1" applyAlignment="1" applyProtection="1">
      <alignment horizontal="left" vertical="top" wrapText="1"/>
      <protection hidden="1"/>
    </xf>
    <xf numFmtId="9" fontId="0" fillId="6" borderId="0" xfId="0" applyNumberFormat="1" applyFill="1" applyBorder="1" applyAlignment="1" applyProtection="1">
      <alignment horizontal="center" vertical="top" wrapText="1"/>
      <protection locked="0" hidden="1"/>
    </xf>
    <xf numFmtId="9" fontId="4" fillId="0" borderId="2" xfId="3" applyNumberFormat="1" applyFont="1" applyFill="1" applyBorder="1" applyAlignment="1" applyProtection="1">
      <alignment horizontal="center" wrapText="1"/>
      <protection hidden="1"/>
    </xf>
    <xf numFmtId="9" fontId="4" fillId="0" borderId="11" xfId="3" applyNumberFormat="1" applyFont="1" applyFill="1" applyBorder="1" applyAlignment="1" applyProtection="1">
      <alignment horizontal="center" wrapText="1"/>
      <protection hidden="1"/>
    </xf>
    <xf numFmtId="9" fontId="4" fillId="0" borderId="5" xfId="3" applyNumberFormat="1" applyFont="1" applyFill="1" applyBorder="1" applyAlignment="1" applyProtection="1">
      <alignment horizontal="center" wrapText="1"/>
      <protection hidden="1"/>
    </xf>
    <xf numFmtId="9" fontId="4" fillId="0" borderId="3" xfId="3" applyNumberFormat="1" applyFont="1" applyFill="1" applyBorder="1" applyAlignment="1" applyProtection="1">
      <alignment horizontal="center" wrapText="1"/>
      <protection hidden="1"/>
    </xf>
    <xf numFmtId="9" fontId="4" fillId="0" borderId="9" xfId="3" applyNumberFormat="1" applyFont="1" applyFill="1" applyBorder="1" applyAlignment="1" applyProtection="1">
      <alignment horizontal="center" wrapText="1"/>
      <protection hidden="1"/>
    </xf>
    <xf numFmtId="9" fontId="4" fillId="0" borderId="4" xfId="3" applyNumberFormat="1" applyFont="1" applyFill="1" applyBorder="1" applyAlignment="1" applyProtection="1">
      <alignment horizontal="center"/>
      <protection hidden="1"/>
    </xf>
    <xf numFmtId="9" fontId="4" fillId="0" borderId="4" xfId="3" applyNumberFormat="1" applyFont="1" applyFill="1" applyBorder="1" applyAlignment="1" applyProtection="1">
      <alignment horizontal="center" wrapText="1"/>
      <protection hidden="1"/>
    </xf>
    <xf numFmtId="3" fontId="4" fillId="0" borderId="4" xfId="3" applyNumberFormat="1" applyFont="1" applyFill="1" applyBorder="1" applyAlignment="1" applyProtection="1">
      <alignment horizontal="right"/>
      <protection hidden="1"/>
    </xf>
    <xf numFmtId="9" fontId="2" fillId="0" borderId="6" xfId="3" applyNumberFormat="1" applyFill="1" applyBorder="1" applyProtection="1">
      <alignment vertical="top"/>
      <protection hidden="1"/>
    </xf>
    <xf numFmtId="3" fontId="3" fillId="0" borderId="1" xfId="3" applyNumberFormat="1" applyFont="1" applyFill="1" applyBorder="1" applyProtection="1">
      <alignment vertical="top"/>
      <protection hidden="1"/>
    </xf>
    <xf numFmtId="9" fontId="4" fillId="0" borderId="6" xfId="3" applyNumberFormat="1" applyFont="1" applyFill="1" applyBorder="1" applyProtection="1">
      <alignment vertical="top"/>
      <protection hidden="1"/>
    </xf>
    <xf numFmtId="0" fontId="3" fillId="2" borderId="1" xfId="3" applyFont="1" applyFill="1" applyBorder="1" applyAlignment="1" applyProtection="1">
      <alignment horizontal="center" vertical="top"/>
      <protection hidden="1"/>
    </xf>
    <xf numFmtId="3" fontId="3" fillId="0" borderId="0" xfId="3" applyNumberFormat="1" applyFont="1" applyFill="1" applyBorder="1" applyProtection="1">
      <alignment vertical="top"/>
      <protection hidden="1"/>
    </xf>
    <xf numFmtId="3" fontId="4" fillId="3" borderId="0" xfId="3" applyNumberFormat="1" applyFont="1" applyFill="1" applyBorder="1" applyProtection="1">
      <alignment vertical="top"/>
      <protection hidden="1"/>
    </xf>
    <xf numFmtId="164" fontId="4" fillId="2" borderId="0" xfId="3" applyNumberFormat="1" applyFont="1" applyFill="1" applyBorder="1" applyProtection="1">
      <alignment vertical="top"/>
      <protection hidden="1"/>
    </xf>
    <xf numFmtId="3" fontId="4" fillId="3" borderId="1" xfId="3" applyNumberFormat="1" applyFont="1" applyFill="1" applyBorder="1" applyProtection="1">
      <alignment vertical="top"/>
      <protection hidden="1"/>
    </xf>
    <xf numFmtId="3" fontId="6" fillId="3" borderId="1" xfId="3" applyNumberFormat="1" applyFont="1" applyFill="1" applyBorder="1" applyProtection="1">
      <alignment vertical="top"/>
      <protection hidden="1"/>
    </xf>
    <xf numFmtId="164" fontId="3" fillId="2" borderId="1" xfId="3" applyNumberFormat="1" applyFont="1" applyFill="1" applyBorder="1" applyProtection="1">
      <alignment vertical="top"/>
      <protection hidden="1"/>
    </xf>
    <xf numFmtId="3" fontId="6" fillId="2" borderId="1" xfId="3" applyNumberFormat="1" applyFont="1" applyFill="1" applyBorder="1" applyProtection="1">
      <alignment vertical="top"/>
      <protection hidden="1"/>
    </xf>
    <xf numFmtId="164" fontId="3" fillId="2" borderId="0" xfId="3" applyNumberFormat="1" applyFont="1" applyFill="1" applyBorder="1" applyProtection="1">
      <alignment vertical="top"/>
      <protection hidden="1"/>
    </xf>
    <xf numFmtId="164" fontId="4" fillId="2" borderId="1" xfId="3" applyNumberFormat="1" applyFont="1" applyFill="1" applyBorder="1" applyProtection="1">
      <alignment vertical="top"/>
      <protection hidden="1"/>
    </xf>
    <xf numFmtId="3" fontId="6" fillId="3" borderId="0" xfId="3" applyNumberFormat="1" applyFont="1" applyFill="1" applyBorder="1" applyProtection="1">
      <alignment vertical="top"/>
      <protection hidden="1"/>
    </xf>
    <xf numFmtId="3" fontId="3" fillId="3" borderId="1" xfId="3" applyNumberFormat="1" applyFont="1" applyFill="1" applyBorder="1" applyProtection="1">
      <alignment vertical="top"/>
      <protection hidden="1"/>
    </xf>
    <xf numFmtId="0" fontId="4" fillId="2" borderId="1" xfId="3" applyFont="1" applyFill="1" applyBorder="1" applyAlignment="1" applyProtection="1">
      <alignment horizontal="center" vertical="top"/>
      <protection hidden="1"/>
    </xf>
    <xf numFmtId="0" fontId="3" fillId="2" borderId="1" xfId="3" applyFont="1" applyFill="1" applyBorder="1" applyAlignment="1" applyProtection="1">
      <alignment horizontal="left" vertical="top"/>
      <protection hidden="1"/>
    </xf>
    <xf numFmtId="3" fontId="3" fillId="2" borderId="1" xfId="3" applyNumberFormat="1" applyFont="1" applyFill="1" applyBorder="1" applyAlignment="1" applyProtection="1">
      <alignment horizontal="right" vertical="top"/>
      <protection hidden="1"/>
    </xf>
    <xf numFmtId="3" fontId="3" fillId="2" borderId="6" xfId="3" applyNumberFormat="1" applyFont="1" applyFill="1" applyBorder="1" applyAlignment="1" applyProtection="1">
      <alignment horizontal="right" vertical="top"/>
      <protection hidden="1"/>
    </xf>
    <xf numFmtId="3" fontId="3" fillId="2" borderId="5" xfId="3" applyNumberFormat="1" applyFont="1" applyFill="1" applyBorder="1" applyAlignment="1" applyProtection="1">
      <alignment horizontal="right" vertical="top"/>
      <protection hidden="1"/>
    </xf>
    <xf numFmtId="3" fontId="3" fillId="3" borderId="5" xfId="3" applyNumberFormat="1" applyFont="1" applyFill="1" applyBorder="1" applyAlignment="1" applyProtection="1">
      <alignment horizontal="right" vertical="top"/>
      <protection hidden="1"/>
    </xf>
    <xf numFmtId="0" fontId="3" fillId="2" borderId="5" xfId="3" applyFont="1" applyFill="1" applyBorder="1" applyAlignment="1" applyProtection="1">
      <alignment vertical="top"/>
      <protection hidden="1"/>
    </xf>
    <xf numFmtId="0" fontId="4" fillId="2" borderId="3" xfId="3" applyFont="1" applyBorder="1" applyProtection="1">
      <alignment vertical="top"/>
      <protection hidden="1"/>
    </xf>
    <xf numFmtId="3" fontId="6" fillId="3" borderId="1" xfId="3" applyNumberFormat="1" applyFont="1" applyFill="1" applyBorder="1" applyAlignment="1" applyProtection="1">
      <alignment vertical="top"/>
      <protection hidden="1"/>
    </xf>
    <xf numFmtId="3" fontId="6" fillId="2" borderId="5" xfId="3" applyNumberFormat="1" applyFont="1" applyFill="1" applyBorder="1" applyAlignment="1" applyProtection="1">
      <alignment vertical="top"/>
      <protection hidden="1"/>
    </xf>
    <xf numFmtId="3" fontId="6" fillId="2" borderId="5" xfId="3" applyNumberFormat="1" applyFont="1" applyBorder="1" applyProtection="1">
      <alignment vertical="top"/>
      <protection hidden="1"/>
    </xf>
    <xf numFmtId="0" fontId="3" fillId="0" borderId="9" xfId="3" applyFont="1" applyFill="1" applyBorder="1" applyAlignment="1" applyProtection="1">
      <protection hidden="1"/>
    </xf>
    <xf numFmtId="3" fontId="2" fillId="0" borderId="9" xfId="3" applyNumberFormat="1" applyFill="1" applyBorder="1" applyProtection="1">
      <alignment vertical="top"/>
      <protection hidden="1"/>
    </xf>
    <xf numFmtId="164" fontId="4" fillId="0" borderId="3" xfId="3" applyNumberFormat="1" applyFont="1" applyFill="1" applyBorder="1" applyProtection="1">
      <alignment vertical="top"/>
      <protection hidden="1"/>
    </xf>
    <xf numFmtId="164" fontId="4" fillId="0" borderId="9" xfId="3" applyNumberFormat="1" applyFont="1" applyFill="1" applyBorder="1" applyProtection="1">
      <alignment vertical="top"/>
      <protection hidden="1"/>
    </xf>
    <xf numFmtId="164" fontId="3" fillId="2" borderId="1" xfId="3" applyNumberFormat="1" applyFont="1" applyFill="1" applyBorder="1" applyAlignment="1" applyProtection="1">
      <alignment vertical="top"/>
      <protection hidden="1"/>
    </xf>
    <xf numFmtId="164" fontId="3" fillId="2" borderId="5" xfId="3" applyNumberFormat="1" applyFont="1" applyFill="1" applyBorder="1" applyAlignment="1" applyProtection="1">
      <alignment vertical="top"/>
      <protection hidden="1"/>
    </xf>
    <xf numFmtId="3" fontId="3" fillId="2" borderId="1" xfId="3" applyNumberFormat="1" applyFont="1" applyFill="1" applyBorder="1" applyAlignment="1" applyProtection="1">
      <alignment horizontal="center"/>
      <protection hidden="1"/>
    </xf>
    <xf numFmtId="3" fontId="3" fillId="0" borderId="7" xfId="3" applyNumberFormat="1" applyFont="1" applyFill="1" applyBorder="1" applyProtection="1">
      <alignment vertical="top"/>
      <protection hidden="1"/>
    </xf>
    <xf numFmtId="3" fontId="4" fillId="0" borderId="3" xfId="3" applyNumberFormat="1" applyFont="1" applyFill="1" applyBorder="1" applyProtection="1">
      <alignment vertical="top"/>
      <protection hidden="1"/>
    </xf>
    <xf numFmtId="3" fontId="3" fillId="3" borderId="6" xfId="3" applyNumberFormat="1" applyFont="1" applyFill="1" applyBorder="1" applyAlignment="1" applyProtection="1">
      <alignment horizontal="right" vertical="top"/>
      <protection hidden="1"/>
    </xf>
    <xf numFmtId="3" fontId="6" fillId="3" borderId="5" xfId="3" applyNumberFormat="1" applyFont="1" applyFill="1" applyBorder="1" applyAlignment="1" applyProtection="1">
      <alignment vertical="top"/>
      <protection hidden="1"/>
    </xf>
    <xf numFmtId="17" fontId="3" fillId="2" borderId="4" xfId="3" applyNumberFormat="1" applyFont="1" applyFill="1" applyBorder="1" applyAlignment="1" applyProtection="1">
      <alignment horizontal="center" vertical="top" wrapText="1"/>
      <protection hidden="1"/>
    </xf>
    <xf numFmtId="3" fontId="3" fillId="0" borderId="1" xfId="3" applyNumberFormat="1" applyFont="1" applyFill="1" applyBorder="1" applyAlignment="1" applyProtection="1">
      <alignment horizontal="left"/>
      <protection hidden="1"/>
    </xf>
    <xf numFmtId="0" fontId="3" fillId="2" borderId="0" xfId="3" applyFont="1" applyFill="1" applyBorder="1" applyAlignment="1" applyProtection="1">
      <alignment wrapText="1"/>
      <protection hidden="1"/>
    </xf>
    <xf numFmtId="3" fontId="6" fillId="3" borderId="0" xfId="3" applyNumberFormat="1" applyFont="1" applyFill="1" applyBorder="1" applyAlignment="1" applyProtection="1">
      <alignment vertical="top"/>
      <protection hidden="1"/>
    </xf>
    <xf numFmtId="164" fontId="3" fillId="2" borderId="0" xfId="3" applyNumberFormat="1" applyFont="1" applyFill="1" applyBorder="1" applyAlignment="1" applyProtection="1">
      <alignment vertical="top"/>
      <protection hidden="1"/>
    </xf>
    <xf numFmtId="10" fontId="4" fillId="0" borderId="1" xfId="3" applyNumberFormat="1" applyFont="1" applyFill="1" applyBorder="1" applyProtection="1">
      <alignment vertical="top"/>
      <protection hidden="1"/>
    </xf>
    <xf numFmtId="10" fontId="4" fillId="0" borderId="5" xfId="3" applyNumberFormat="1" applyFont="1" applyFill="1" applyBorder="1" applyProtection="1">
      <alignment vertical="top"/>
      <protection hidden="1"/>
    </xf>
    <xf numFmtId="164" fontId="4" fillId="0" borderId="1" xfId="3" applyNumberFormat="1" applyFont="1" applyFill="1" applyBorder="1" applyProtection="1">
      <alignment vertical="top"/>
      <protection hidden="1"/>
    </xf>
    <xf numFmtId="164" fontId="4" fillId="3" borderId="1" xfId="3" applyNumberFormat="1" applyFont="1" applyFill="1" applyBorder="1" applyProtection="1">
      <alignment vertical="top"/>
      <protection hidden="1"/>
    </xf>
    <xf numFmtId="3" fontId="3" fillId="3" borderId="1" xfId="3" applyNumberFormat="1" applyFont="1" applyFill="1" applyBorder="1" applyAlignment="1" applyProtection="1">
      <alignment horizontal="right" vertical="top"/>
      <protection hidden="1"/>
    </xf>
    <xf numFmtId="3" fontId="4" fillId="2" borderId="5" xfId="3" applyNumberFormat="1" applyFont="1" applyFill="1" applyBorder="1" applyAlignment="1" applyProtection="1">
      <alignment horizontal="center" vertical="top"/>
      <protection hidden="1"/>
    </xf>
    <xf numFmtId="3" fontId="4" fillId="2" borderId="5" xfId="3" applyNumberFormat="1" applyFont="1" applyFill="1" applyBorder="1" applyAlignment="1" applyProtection="1">
      <alignment horizontal="right"/>
      <protection hidden="1"/>
    </xf>
    <xf numFmtId="3" fontId="6" fillId="2" borderId="6" xfId="3" applyNumberFormat="1" applyFont="1" applyFill="1" applyBorder="1" applyProtection="1">
      <alignment vertical="top"/>
      <protection hidden="1"/>
    </xf>
    <xf numFmtId="0" fontId="3" fillId="2" borderId="15" xfId="3" applyFont="1" applyFill="1" applyBorder="1" applyAlignment="1" applyProtection="1">
      <alignment horizontal="center" vertical="top" wrapText="1"/>
      <protection hidden="1"/>
    </xf>
    <xf numFmtId="3" fontId="3" fillId="3" borderId="15" xfId="3" applyNumberFormat="1" applyFont="1" applyFill="1" applyBorder="1" applyProtection="1">
      <alignment vertical="top"/>
      <protection hidden="1"/>
    </xf>
    <xf numFmtId="0" fontId="3" fillId="2" borderId="15" xfId="3" applyFont="1" applyFill="1" applyBorder="1" applyAlignment="1" applyProtection="1">
      <alignment wrapText="1"/>
      <protection hidden="1"/>
    </xf>
    <xf numFmtId="1" fontId="4" fillId="2" borderId="15" xfId="3" applyNumberFormat="1" applyFont="1" applyFill="1" applyBorder="1" applyProtection="1">
      <alignment vertical="top"/>
      <protection hidden="1"/>
    </xf>
    <xf numFmtId="3" fontId="4" fillId="3" borderId="15" xfId="3" applyNumberFormat="1" applyFont="1" applyFill="1" applyBorder="1" applyProtection="1">
      <alignment vertical="top"/>
      <protection hidden="1"/>
    </xf>
    <xf numFmtId="164" fontId="4" fillId="2" borderId="15" xfId="3" applyNumberFormat="1" applyFont="1" applyFill="1" applyBorder="1" applyProtection="1">
      <alignment vertical="top"/>
      <protection hidden="1"/>
    </xf>
    <xf numFmtId="3" fontId="6" fillId="3" borderId="15" xfId="3" applyNumberFormat="1" applyFont="1" applyFill="1" applyBorder="1" applyProtection="1">
      <alignment vertical="top"/>
      <protection hidden="1"/>
    </xf>
    <xf numFmtId="164" fontId="3" fillId="2" borderId="15" xfId="3" applyNumberFormat="1" applyFont="1" applyFill="1" applyBorder="1" applyProtection="1">
      <alignment vertical="top"/>
      <protection hidden="1"/>
    </xf>
    <xf numFmtId="3" fontId="6" fillId="2" borderId="15" xfId="3" applyNumberFormat="1" applyFont="1" applyFill="1" applyBorder="1" applyProtection="1">
      <alignment vertical="top"/>
      <protection hidden="1"/>
    </xf>
    <xf numFmtId="3" fontId="4" fillId="2" borderId="15" xfId="3" applyNumberFormat="1" applyFont="1" applyFill="1" applyBorder="1" applyProtection="1">
      <alignment vertical="top"/>
      <protection hidden="1"/>
    </xf>
    <xf numFmtId="3" fontId="3" fillId="3" borderId="15" xfId="3" applyNumberFormat="1" applyFont="1" applyFill="1" applyBorder="1" applyAlignment="1" applyProtection="1">
      <alignment horizontal="right" vertical="top"/>
      <protection hidden="1"/>
    </xf>
    <xf numFmtId="3" fontId="3" fillId="2" borderId="15" xfId="3" applyNumberFormat="1" applyFont="1" applyFill="1" applyBorder="1" applyAlignment="1" applyProtection="1">
      <alignment horizontal="right" vertical="top"/>
      <protection hidden="1"/>
    </xf>
    <xf numFmtId="3" fontId="6" fillId="3" borderId="15" xfId="3" applyNumberFormat="1" applyFont="1" applyFill="1" applyBorder="1" applyAlignment="1" applyProtection="1">
      <alignment vertical="top"/>
      <protection hidden="1"/>
    </xf>
    <xf numFmtId="164" fontId="3" fillId="2" borderId="15" xfId="3" applyNumberFormat="1" applyFont="1" applyFill="1" applyBorder="1" applyAlignment="1" applyProtection="1">
      <alignment vertical="top"/>
      <protection hidden="1"/>
    </xf>
    <xf numFmtId="10" fontId="7" fillId="0" borderId="0" xfId="3" applyNumberFormat="1" applyFont="1" applyFill="1" applyBorder="1" applyProtection="1">
      <alignment vertical="top"/>
      <protection hidden="1"/>
    </xf>
    <xf numFmtId="3" fontId="7" fillId="0" borderId="6" xfId="3" applyNumberFormat="1" applyFont="1" applyFill="1" applyBorder="1" applyAlignment="1" applyProtection="1">
      <alignment horizontal="center" vertical="top" wrapText="1"/>
      <protection hidden="1"/>
    </xf>
    <xf numFmtId="3" fontId="7" fillId="2" borderId="0" xfId="3" applyNumberFormat="1" applyFont="1" applyFill="1" applyBorder="1" applyAlignment="1" applyProtection="1">
      <alignment horizontal="center" vertical="top"/>
      <protection hidden="1"/>
    </xf>
    <xf numFmtId="3" fontId="3" fillId="2" borderId="5" xfId="3" applyNumberFormat="1" applyFont="1" applyFill="1" applyBorder="1" applyAlignment="1" applyProtection="1">
      <protection hidden="1"/>
    </xf>
    <xf numFmtId="0" fontId="6" fillId="2" borderId="6" xfId="3" applyFont="1" applyFill="1" applyBorder="1" applyAlignment="1" applyProtection="1">
      <alignment wrapText="1"/>
      <protection hidden="1"/>
    </xf>
    <xf numFmtId="0" fontId="6" fillId="2" borderId="9" xfId="3" applyFont="1" applyFill="1" applyBorder="1" applyAlignment="1" applyProtection="1">
      <alignment wrapText="1"/>
      <protection hidden="1"/>
    </xf>
    <xf numFmtId="3" fontId="3" fillId="3" borderId="1" xfId="0" applyNumberFormat="1" applyFont="1" applyFill="1" applyBorder="1" applyProtection="1">
      <protection hidden="1"/>
    </xf>
    <xf numFmtId="3" fontId="3" fillId="2" borderId="5" xfId="0" applyNumberFormat="1" applyFont="1" applyBorder="1" applyProtection="1">
      <protection hidden="1"/>
    </xf>
    <xf numFmtId="0" fontId="4" fillId="2" borderId="15" xfId="0" applyFont="1" applyBorder="1" applyAlignment="1" applyProtection="1">
      <alignment horizontal="right"/>
      <protection hidden="1"/>
    </xf>
    <xf numFmtId="0" fontId="0" fillId="2" borderId="15" xfId="0" applyBorder="1" applyAlignment="1" applyProtection="1">
      <alignment horizontal="right"/>
      <protection hidden="1"/>
    </xf>
    <xf numFmtId="3" fontId="6" fillId="3" borderId="15" xfId="0" applyNumberFormat="1" applyFont="1" applyFill="1" applyBorder="1" applyAlignment="1" applyProtection="1">
      <alignment horizontal="right"/>
      <protection hidden="1"/>
    </xf>
    <xf numFmtId="3" fontId="6" fillId="2" borderId="15" xfId="0" applyNumberFormat="1" applyFont="1" applyBorder="1" applyAlignment="1" applyProtection="1">
      <alignment horizontal="right"/>
      <protection hidden="1"/>
    </xf>
    <xf numFmtId="3" fontId="3" fillId="0" borderId="15" xfId="0" applyNumberFormat="1" applyFont="1" applyFill="1" applyBorder="1" applyAlignment="1" applyProtection="1">
      <alignment horizontal="right"/>
      <protection hidden="1"/>
    </xf>
    <xf numFmtId="17" fontId="3" fillId="6" borderId="10" xfId="3" applyNumberFormat="1" applyFont="1" applyFill="1" applyBorder="1" applyAlignment="1" applyProtection="1">
      <alignment horizontal="center" vertical="top" wrapText="1"/>
      <protection locked="0" hidden="1"/>
    </xf>
    <xf numFmtId="164" fontId="4" fillId="6" borderId="0" xfId="3" applyNumberFormat="1" applyFont="1" applyFill="1" applyBorder="1" applyProtection="1">
      <alignment vertical="top"/>
      <protection locked="0" hidden="1"/>
    </xf>
    <xf numFmtId="164" fontId="4" fillId="6" borderId="1" xfId="3" applyNumberFormat="1" applyFont="1" applyFill="1" applyBorder="1" applyProtection="1">
      <alignment vertical="top"/>
      <protection locked="0" hidden="1"/>
    </xf>
    <xf numFmtId="0" fontId="2" fillId="2" borderId="5" xfId="3" applyFill="1" applyBorder="1" applyProtection="1">
      <alignment vertical="top"/>
      <protection hidden="1"/>
    </xf>
    <xf numFmtId="0" fontId="2" fillId="0" borderId="5" xfId="3" applyFill="1" applyBorder="1" applyProtection="1">
      <alignment vertical="top"/>
      <protection hidden="1"/>
    </xf>
    <xf numFmtId="0" fontId="2" fillId="2" borderId="3" xfId="3" applyFill="1" applyBorder="1" applyProtection="1">
      <alignment vertical="top"/>
      <protection hidden="1"/>
    </xf>
    <xf numFmtId="10" fontId="4" fillId="0" borderId="6" xfId="3" applyNumberFormat="1" applyFont="1" applyFill="1" applyBorder="1" applyProtection="1">
      <alignment vertical="top"/>
      <protection hidden="1"/>
    </xf>
    <xf numFmtId="3" fontId="3" fillId="6" borderId="15" xfId="3" applyNumberFormat="1" applyFont="1" applyFill="1" applyBorder="1" applyProtection="1">
      <alignment vertical="top"/>
      <protection locked="0" hidden="1"/>
    </xf>
    <xf numFmtId="0" fontId="4" fillId="6" borderId="15" xfId="0" applyFont="1" applyFill="1" applyBorder="1" applyAlignment="1" applyProtection="1">
      <alignment horizontal="right"/>
      <protection locked="0" hidden="1"/>
    </xf>
    <xf numFmtId="3" fontId="4" fillId="6" borderId="15" xfId="3" applyNumberFormat="1" applyFont="1" applyFill="1" applyBorder="1" applyProtection="1">
      <alignment vertical="top"/>
      <protection locked="0" hidden="1"/>
    </xf>
    <xf numFmtId="3" fontId="4" fillId="6" borderId="6" xfId="3" applyNumberFormat="1" applyFont="1" applyFill="1" applyBorder="1" applyProtection="1">
      <alignment vertical="top"/>
      <protection locked="0" hidden="1"/>
    </xf>
    <xf numFmtId="3" fontId="3" fillId="6" borderId="15" xfId="3" applyNumberFormat="1" applyFont="1" applyFill="1" applyBorder="1" applyAlignment="1" applyProtection="1">
      <alignment horizontal="right" vertical="top"/>
      <protection locked="0" hidden="1"/>
    </xf>
    <xf numFmtId="3" fontId="3" fillId="6" borderId="6" xfId="3" applyNumberFormat="1" applyFont="1" applyFill="1" applyBorder="1" applyProtection="1">
      <alignment vertical="top"/>
      <protection locked="0" hidden="1"/>
    </xf>
    <xf numFmtId="0" fontId="4" fillId="2" borderId="5" xfId="3" applyFont="1" applyFill="1" applyBorder="1" applyAlignment="1" applyProtection="1">
      <alignment horizontal="center" vertical="top"/>
      <protection hidden="1"/>
    </xf>
    <xf numFmtId="3" fontId="3" fillId="6" borderId="5" xfId="3" applyNumberFormat="1" applyFont="1" applyFill="1" applyBorder="1" applyAlignment="1" applyProtection="1">
      <protection locked="0" hidden="1"/>
    </xf>
    <xf numFmtId="3" fontId="3" fillId="6" borderId="5" xfId="3" applyNumberFormat="1" applyFont="1" applyFill="1" applyBorder="1" applyAlignment="1" applyProtection="1">
      <alignment horizontal="left"/>
      <protection locked="0" hidden="1"/>
    </xf>
    <xf numFmtId="3" fontId="3" fillId="2" borderId="5" xfId="3" applyNumberFormat="1" applyFont="1" applyFill="1" applyBorder="1" applyAlignment="1" applyProtection="1">
      <alignment horizontal="left"/>
      <protection hidden="1"/>
    </xf>
    <xf numFmtId="3" fontId="3" fillId="0" borderId="5" xfId="3" applyNumberFormat="1" applyFont="1" applyFill="1" applyBorder="1" applyAlignment="1" applyProtection="1">
      <alignment horizontal="left"/>
      <protection hidden="1"/>
    </xf>
    <xf numFmtId="3" fontId="3" fillId="6" borderId="5" xfId="3" applyNumberFormat="1" applyFont="1" applyFill="1" applyBorder="1" applyAlignment="1" applyProtection="1">
      <alignment horizontal="right"/>
      <protection locked="0" hidden="1"/>
    </xf>
    <xf numFmtId="0" fontId="4" fillId="2" borderId="5" xfId="3" applyFont="1" applyFill="1" applyBorder="1" applyAlignment="1" applyProtection="1">
      <alignment horizontal="right" vertical="top"/>
      <protection hidden="1"/>
    </xf>
    <xf numFmtId="3" fontId="3" fillId="2" borderId="5" xfId="3" applyNumberFormat="1" applyFont="1" applyFill="1" applyBorder="1" applyAlignment="1" applyProtection="1">
      <alignment horizontal="right"/>
      <protection hidden="1"/>
    </xf>
    <xf numFmtId="0" fontId="3" fillId="2" borderId="5" xfId="3" applyFont="1" applyFill="1" applyBorder="1" applyAlignment="1" applyProtection="1">
      <alignment horizontal="right" vertical="top"/>
      <protection hidden="1"/>
    </xf>
    <xf numFmtId="0" fontId="3" fillId="2" borderId="5" xfId="3" applyFont="1" applyFill="1" applyBorder="1" applyAlignment="1" applyProtection="1">
      <alignment horizontal="left"/>
      <protection hidden="1"/>
    </xf>
    <xf numFmtId="3" fontId="3" fillId="2" borderId="5" xfId="3" applyNumberFormat="1" applyFont="1" applyFill="1" applyBorder="1" applyAlignment="1" applyProtection="1">
      <alignment vertical="top"/>
      <protection hidden="1"/>
    </xf>
    <xf numFmtId="0" fontId="3" fillId="2" borderId="5" xfId="3" applyFont="1" applyFill="1" applyBorder="1" applyAlignment="1" applyProtection="1">
      <alignment horizontal="center" vertical="top"/>
      <protection hidden="1"/>
    </xf>
    <xf numFmtId="0" fontId="3" fillId="6" borderId="5" xfId="3" applyFont="1" applyFill="1" applyBorder="1" applyAlignment="1" applyProtection="1">
      <alignment horizontal="left" vertical="top"/>
      <protection locked="0" hidden="1"/>
    </xf>
    <xf numFmtId="0" fontId="3" fillId="2" borderId="5" xfId="3" applyFont="1" applyFill="1" applyBorder="1" applyAlignment="1" applyProtection="1">
      <alignment horizontal="left" vertical="top"/>
      <protection hidden="1"/>
    </xf>
    <xf numFmtId="17" fontId="3" fillId="2" borderId="10" xfId="3" applyNumberFormat="1" applyFont="1" applyFill="1" applyBorder="1" applyAlignment="1" applyProtection="1">
      <alignment horizontal="center" vertical="top" wrapText="1"/>
      <protection hidden="1"/>
    </xf>
    <xf numFmtId="164" fontId="4" fillId="0" borderId="6" xfId="3" applyNumberFormat="1" applyFont="1" applyFill="1" applyBorder="1" applyProtection="1">
      <alignment vertical="top"/>
      <protection hidden="1"/>
    </xf>
    <xf numFmtId="3" fontId="3" fillId="0" borderId="6" xfId="3" applyNumberFormat="1" applyFont="1" applyFill="1" applyBorder="1" applyProtection="1">
      <alignment vertical="top"/>
      <protection hidden="1"/>
    </xf>
    <xf numFmtId="0" fontId="3" fillId="2" borderId="6" xfId="3" applyFont="1" applyFill="1" applyBorder="1" applyAlignment="1" applyProtection="1">
      <alignment wrapText="1"/>
      <protection hidden="1"/>
    </xf>
    <xf numFmtId="3" fontId="6" fillId="3" borderId="6" xfId="3" applyNumberFormat="1" applyFont="1" applyFill="1" applyBorder="1" applyAlignment="1" applyProtection="1">
      <alignment vertical="top"/>
      <protection hidden="1"/>
    </xf>
    <xf numFmtId="0" fontId="3" fillId="2" borderId="16" xfId="3" applyFont="1" applyFill="1" applyBorder="1" applyAlignment="1" applyProtection="1">
      <alignment horizontal="center" vertical="top"/>
      <protection hidden="1"/>
    </xf>
    <xf numFmtId="3" fontId="3" fillId="3" borderId="0" xfId="0" applyNumberFormat="1" applyFont="1" applyFill="1" applyBorder="1" applyProtection="1">
      <protection hidden="1"/>
    </xf>
    <xf numFmtId="3" fontId="3" fillId="2" borderId="0" xfId="3" applyNumberFormat="1" applyFont="1" applyFill="1" applyBorder="1" applyAlignment="1" applyProtection="1">
      <alignment horizontal="right" vertical="top"/>
      <protection hidden="1"/>
    </xf>
    <xf numFmtId="3" fontId="6" fillId="2" borderId="0" xfId="3" applyNumberFormat="1" applyFont="1" applyFill="1" applyBorder="1" applyProtection="1">
      <alignment vertical="top"/>
      <protection hidden="1"/>
    </xf>
    <xf numFmtId="3" fontId="4" fillId="2" borderId="17" xfId="3" applyNumberFormat="1" applyFont="1" applyFill="1" applyBorder="1" applyAlignment="1" applyProtection="1">
      <alignment horizontal="center" vertical="top"/>
      <protection hidden="1"/>
    </xf>
    <xf numFmtId="3" fontId="3" fillId="2" borderId="17" xfId="0" applyNumberFormat="1" applyFont="1" applyBorder="1" applyProtection="1">
      <protection hidden="1"/>
    </xf>
    <xf numFmtId="10" fontId="4" fillId="0" borderId="17" xfId="3" applyNumberFormat="1" applyFont="1" applyFill="1" applyBorder="1" applyProtection="1">
      <alignment vertical="top"/>
      <protection hidden="1"/>
    </xf>
    <xf numFmtId="3" fontId="3" fillId="0" borderId="17" xfId="3" applyNumberFormat="1" applyFont="1" applyFill="1" applyBorder="1" applyProtection="1">
      <alignment vertical="top"/>
      <protection hidden="1"/>
    </xf>
    <xf numFmtId="164" fontId="4" fillId="0" borderId="17" xfId="3" applyNumberFormat="1" applyFont="1" applyFill="1" applyBorder="1" applyProtection="1">
      <alignment vertical="top"/>
      <protection hidden="1"/>
    </xf>
    <xf numFmtId="3" fontId="3" fillId="3" borderId="17" xfId="3" applyNumberFormat="1" applyFont="1" applyFill="1" applyBorder="1" applyProtection="1">
      <alignment vertical="top"/>
      <protection hidden="1"/>
    </xf>
    <xf numFmtId="0" fontId="3" fillId="2" borderId="17" xfId="3" applyFont="1" applyFill="1" applyBorder="1" applyAlignment="1" applyProtection="1">
      <alignment wrapText="1"/>
      <protection hidden="1"/>
    </xf>
    <xf numFmtId="1" fontId="4" fillId="2" borderId="17" xfId="3" applyNumberFormat="1" applyFont="1" applyFill="1" applyBorder="1" applyProtection="1">
      <alignment vertical="top"/>
      <protection hidden="1"/>
    </xf>
    <xf numFmtId="3" fontId="6" fillId="3" borderId="17" xfId="3" applyNumberFormat="1" applyFont="1" applyFill="1" applyBorder="1" applyProtection="1">
      <alignment vertical="top"/>
      <protection hidden="1"/>
    </xf>
    <xf numFmtId="164" fontId="4" fillId="2" borderId="17" xfId="3" applyNumberFormat="1" applyFont="1" applyFill="1" applyBorder="1" applyProtection="1">
      <alignment vertical="top"/>
      <protection hidden="1"/>
    </xf>
    <xf numFmtId="164" fontId="3" fillId="2" borderId="17" xfId="3" applyNumberFormat="1" applyFont="1" applyFill="1" applyBorder="1" applyProtection="1">
      <alignment vertical="top"/>
      <protection hidden="1"/>
    </xf>
    <xf numFmtId="3" fontId="4" fillId="2" borderId="17" xfId="3" applyNumberFormat="1" applyFont="1" applyFill="1" applyBorder="1" applyProtection="1">
      <alignment vertical="top"/>
      <protection hidden="1"/>
    </xf>
    <xf numFmtId="164" fontId="3" fillId="0" borderId="17" xfId="3" applyNumberFormat="1" applyFont="1" applyFill="1" applyBorder="1" applyProtection="1">
      <alignment vertical="top"/>
      <protection hidden="1"/>
    </xf>
    <xf numFmtId="3" fontId="3" fillId="2" borderId="17" xfId="3" applyNumberFormat="1" applyFont="1" applyFill="1" applyBorder="1" applyAlignment="1" applyProtection="1">
      <alignment horizontal="right" vertical="top"/>
      <protection hidden="1"/>
    </xf>
    <xf numFmtId="0" fontId="0" fillId="2" borderId="7" xfId="0" applyFill="1" applyBorder="1" applyAlignment="1" applyProtection="1">
      <alignment horizontal="justify" vertical="top" wrapText="1"/>
      <protection hidden="1"/>
    </xf>
    <xf numFmtId="0" fontId="0" fillId="6" borderId="11" xfId="0" applyFill="1" applyBorder="1" applyAlignment="1" applyProtection="1">
      <alignment horizontal="justify" vertical="top" wrapText="1"/>
      <protection hidden="1"/>
    </xf>
    <xf numFmtId="0" fontId="0" fillId="2" borderId="0" xfId="0" applyFill="1" applyBorder="1" applyAlignment="1" applyProtection="1">
      <alignment horizontal="justify" vertical="top" wrapText="1"/>
      <protection hidden="1"/>
    </xf>
    <xf numFmtId="3" fontId="5" fillId="2" borderId="3" xfId="1" applyNumberFormat="1" applyFill="1" applyBorder="1" applyAlignment="1" applyProtection="1">
      <alignment horizontal="right" vertical="top" wrapText="1"/>
      <protection hidden="1"/>
    </xf>
    <xf numFmtId="0" fontId="4" fillId="2" borderId="8" xfId="1" applyNumberFormat="1" applyFont="1" applyFill="1" applyBorder="1" applyAlignment="1" applyProtection="1">
      <alignment horizontal="justify" vertical="top" wrapText="1"/>
      <protection hidden="1"/>
    </xf>
    <xf numFmtId="0" fontId="5" fillId="2" borderId="3" xfId="1" applyFill="1" applyBorder="1" applyAlignment="1" applyProtection="1">
      <alignment horizontal="right" vertical="top"/>
      <protection hidden="1"/>
    </xf>
    <xf numFmtId="3" fontId="5" fillId="2" borderId="5" xfId="1" applyNumberFormat="1" applyFill="1" applyBorder="1" applyAlignment="1" applyProtection="1">
      <alignment horizontal="right"/>
      <protection hidden="1"/>
    </xf>
    <xf numFmtId="49" fontId="3" fillId="3" borderId="5" xfId="0" applyNumberFormat="1" applyFont="1" applyFill="1" applyBorder="1" applyAlignment="1" applyProtection="1">
      <alignment horizontal="justify" vertical="top" wrapText="1"/>
      <protection hidden="1"/>
    </xf>
    <xf numFmtId="49" fontId="3" fillId="3" borderId="3" xfId="0" applyNumberFormat="1" applyFont="1" applyFill="1" applyBorder="1" applyAlignment="1" applyProtection="1">
      <alignment horizontal="justify" vertical="top" wrapText="1"/>
      <protection hidden="1"/>
    </xf>
    <xf numFmtId="49" fontId="3" fillId="6" borderId="4" xfId="0" applyNumberFormat="1" applyFont="1" applyFill="1" applyBorder="1" applyAlignment="1" applyProtection="1">
      <alignment horizontal="justify" vertical="top" wrapText="1"/>
      <protection hidden="1"/>
    </xf>
    <xf numFmtId="0" fontId="0" fillId="3" borderId="11" xfId="0" applyFill="1" applyBorder="1" applyAlignment="1" applyProtection="1">
      <alignment horizontal="left" vertical="top" wrapText="1"/>
      <protection hidden="1"/>
    </xf>
    <xf numFmtId="0" fontId="12" fillId="2" borderId="1" xfId="1" applyFont="1" applyFill="1" applyBorder="1" applyAlignment="1" applyProtection="1">
      <protection hidden="1"/>
    </xf>
    <xf numFmtId="0" fontId="4" fillId="0" borderId="9" xfId="0" applyNumberFormat="1" applyFont="1" applyFill="1" applyBorder="1" applyAlignment="1" applyProtection="1">
      <alignment horizontal="left" vertical="top" wrapText="1"/>
      <protection hidden="1"/>
    </xf>
    <xf numFmtId="3" fontId="5" fillId="2" borderId="1" xfId="1" applyNumberFormat="1" applyFont="1" applyFill="1" applyBorder="1" applyAlignment="1" applyProtection="1">
      <alignment horizontal="left" vertical="top" wrapText="1"/>
      <protection hidden="1"/>
    </xf>
    <xf numFmtId="3" fontId="5" fillId="2" borderId="1" xfId="1" applyNumberFormat="1" applyFont="1" applyFill="1" applyBorder="1" applyAlignment="1" applyProtection="1">
      <alignment horizontal="right" vertical="top" wrapText="1"/>
      <protection hidden="1"/>
    </xf>
    <xf numFmtId="3" fontId="5" fillId="2" borderId="5" xfId="1" applyNumberFormat="1" applyFont="1" applyFill="1" applyBorder="1" applyAlignment="1" applyProtection="1">
      <alignment horizontal="right" vertical="top" wrapText="1"/>
      <protection hidden="1"/>
    </xf>
    <xf numFmtId="0" fontId="0" fillId="2" borderId="0" xfId="0" applyBorder="1"/>
    <xf numFmtId="3" fontId="0" fillId="0" borderId="0" xfId="0" applyNumberFormat="1" applyFill="1" applyBorder="1" applyProtection="1">
      <protection hidden="1"/>
    </xf>
    <xf numFmtId="0" fontId="0" fillId="0" borderId="0" xfId="0" applyFill="1" applyBorder="1"/>
    <xf numFmtId="164" fontId="4" fillId="0" borderId="0" xfId="1" applyNumberFormat="1" applyFont="1" applyFill="1" applyBorder="1" applyAlignment="1" applyProtection="1">
      <alignment horizontal="center" vertical="top" wrapText="1"/>
      <protection hidden="1"/>
    </xf>
    <xf numFmtId="3" fontId="3" fillId="4" borderId="0" xfId="0" applyNumberFormat="1" applyFont="1" applyFill="1" applyBorder="1" applyAlignment="1" applyProtection="1">
      <alignment horizontal="center" vertical="top" wrapText="1"/>
      <protection hidden="1"/>
    </xf>
    <xf numFmtId="0" fontId="4" fillId="2" borderId="0" xfId="0" applyNumberFormat="1" applyFont="1" applyBorder="1" applyAlignment="1" applyProtection="1">
      <alignment horizontal="center" vertical="top" wrapText="1"/>
      <protection hidden="1"/>
    </xf>
    <xf numFmtId="3" fontId="3" fillId="5" borderId="0" xfId="0" applyNumberFormat="1" applyFont="1" applyFill="1" applyBorder="1" applyAlignment="1" applyProtection="1">
      <alignment horizontal="center" vertical="top" wrapText="1"/>
      <protection hidden="1"/>
    </xf>
    <xf numFmtId="0" fontId="4" fillId="2" borderId="6" xfId="0" applyNumberFormat="1" applyFont="1" applyBorder="1" applyAlignment="1" applyProtection="1">
      <alignment vertical="top" wrapText="1"/>
      <protection hidden="1"/>
    </xf>
    <xf numFmtId="0" fontId="0" fillId="2" borderId="0" xfId="0" applyBorder="1" applyAlignment="1" applyProtection="1">
      <alignment vertical="top"/>
      <protection hidden="1"/>
    </xf>
    <xf numFmtId="0" fontId="2" fillId="2" borderId="0" xfId="3" applyBorder="1" applyAlignment="1" applyProtection="1">
      <alignment vertical="top"/>
      <protection hidden="1"/>
    </xf>
    <xf numFmtId="0" fontId="2" fillId="2" borderId="0" xfId="3" applyBorder="1">
      <alignment vertical="top"/>
    </xf>
    <xf numFmtId="0" fontId="0" fillId="2" borderId="0" xfId="0" applyBorder="1" applyAlignment="1" applyProtection="1">
      <alignment horizontal="center" vertical="top" wrapText="1"/>
      <protection hidden="1"/>
    </xf>
    <xf numFmtId="0" fontId="2" fillId="2" borderId="0" xfId="3" applyBorder="1" applyAlignment="1" applyProtection="1">
      <alignment horizontal="center" vertical="top" wrapText="1"/>
      <protection hidden="1"/>
    </xf>
    <xf numFmtId="0" fontId="2" fillId="2" borderId="0" xfId="3" applyBorder="1" applyAlignment="1">
      <alignment horizontal="center" vertical="top" wrapText="1"/>
    </xf>
    <xf numFmtId="0" fontId="21" fillId="7" borderId="22" xfId="3" applyFont="1" applyFill="1" applyBorder="1" applyAlignment="1" applyProtection="1">
      <alignment horizontal="center" vertical="top"/>
      <protection hidden="1"/>
    </xf>
    <xf numFmtId="3" fontId="4" fillId="8" borderId="0" xfId="1" applyNumberFormat="1" applyFont="1" applyFill="1" applyBorder="1" applyAlignment="1" applyProtection="1">
      <alignment horizontal="center" vertical="top" wrapText="1"/>
      <protection hidden="1"/>
    </xf>
    <xf numFmtId="3" fontId="3" fillId="8" borderId="4" xfId="1" applyNumberFormat="1" applyFont="1" applyFill="1" applyBorder="1" applyAlignment="1" applyProtection="1">
      <alignment horizontal="center" vertical="top" wrapText="1"/>
      <protection hidden="1"/>
    </xf>
    <xf numFmtId="3" fontId="4" fillId="8" borderId="5" xfId="1" applyNumberFormat="1" applyFont="1" applyFill="1" applyBorder="1" applyAlignment="1" applyProtection="1">
      <alignment horizontal="center" vertical="top" wrapText="1"/>
      <protection hidden="1"/>
    </xf>
    <xf numFmtId="0" fontId="25" fillId="0" borderId="0" xfId="4" applyFont="1" applyProtection="1">
      <protection hidden="1"/>
    </xf>
    <xf numFmtId="0" fontId="5" fillId="0" borderId="0" xfId="1" applyFill="1" applyBorder="1" applyAlignment="1" applyProtection="1">
      <protection hidden="1"/>
    </xf>
    <xf numFmtId="0" fontId="26" fillId="0" borderId="0" xfId="4" applyFont="1" applyAlignment="1" applyProtection="1">
      <alignment horizontal="right"/>
      <protection hidden="1"/>
    </xf>
    <xf numFmtId="0" fontId="2" fillId="0" borderId="0" xfId="4" applyFont="1" applyAlignment="1" applyProtection="1">
      <alignment horizontal="center"/>
      <protection hidden="1"/>
    </xf>
    <xf numFmtId="0" fontId="27" fillId="0" borderId="0" xfId="4" applyFont="1" applyProtection="1">
      <protection hidden="1"/>
    </xf>
    <xf numFmtId="0" fontId="2" fillId="0" borderId="0" xfId="4" applyFont="1" applyAlignment="1" applyProtection="1">
      <alignment horizontal="right"/>
      <protection hidden="1"/>
    </xf>
    <xf numFmtId="0" fontId="3" fillId="0" borderId="0" xfId="1" applyFont="1" applyFill="1" applyBorder="1" applyAlignment="1" applyProtection="1">
      <protection hidden="1"/>
    </xf>
    <xf numFmtId="1" fontId="3" fillId="0" borderId="0" xfId="4" applyNumberFormat="1" applyFont="1" applyAlignment="1" applyProtection="1">
      <alignment horizontal="left"/>
      <protection hidden="1"/>
    </xf>
    <xf numFmtId="0" fontId="25" fillId="0" borderId="0" xfId="4" applyFont="1" applyAlignment="1" applyProtection="1">
      <alignment horizontal="right"/>
      <protection hidden="1"/>
    </xf>
    <xf numFmtId="165" fontId="29" fillId="0" borderId="0" xfId="5" applyNumberFormat="1" applyFont="1" applyFill="1" applyBorder="1" applyAlignment="1" applyProtection="1">
      <alignment horizontal="left"/>
      <protection hidden="1"/>
    </xf>
    <xf numFmtId="0" fontId="25" fillId="0" borderId="0" xfId="4" applyFont="1" applyAlignment="1" applyProtection="1">
      <alignment horizontal="center"/>
      <protection hidden="1"/>
    </xf>
    <xf numFmtId="0" fontId="24" fillId="0" borderId="0" xfId="4" applyFont="1" applyAlignment="1" applyProtection="1">
      <alignment horizontal="center"/>
      <protection hidden="1"/>
    </xf>
    <xf numFmtId="0" fontId="24" fillId="0" borderId="0" xfId="4" applyFont="1" applyProtection="1">
      <protection hidden="1"/>
    </xf>
    <xf numFmtId="0" fontId="2" fillId="2" borderId="0" xfId="6"/>
    <xf numFmtId="49" fontId="15" fillId="2" borderId="0" xfId="7" applyNumberFormat="1" applyFont="1" applyAlignment="1" applyProtection="1">
      <alignment horizontal="center" vertical="top" wrapText="1"/>
      <protection hidden="1"/>
    </xf>
    <xf numFmtId="3" fontId="17" fillId="2" borderId="0" xfId="6" applyNumberFormat="1" applyFont="1" applyAlignment="1" applyProtection="1">
      <alignment horizontal="center" vertical="top"/>
      <protection hidden="1"/>
    </xf>
    <xf numFmtId="49" fontId="10" fillId="2" borderId="0" xfId="7" applyNumberFormat="1" applyFont="1" applyAlignment="1" applyProtection="1">
      <alignment horizontal="center" vertical="top"/>
      <protection hidden="1"/>
    </xf>
    <xf numFmtId="49" fontId="11" fillId="0" borderId="0" xfId="8" applyNumberFormat="1" applyFont="1" applyBorder="1" applyAlignment="1" applyProtection="1">
      <alignment horizontal="center" vertical="top" wrapText="1"/>
      <protection hidden="1"/>
    </xf>
    <xf numFmtId="49" fontId="10" fillId="2" borderId="0" xfId="7" applyNumberFormat="1" applyFont="1" applyAlignment="1" applyProtection="1">
      <alignment horizontal="center" vertical="top" wrapText="1"/>
      <protection hidden="1"/>
    </xf>
    <xf numFmtId="49" fontId="11" fillId="2" borderId="0" xfId="8" applyNumberFormat="1" applyFont="1" applyFill="1" applyBorder="1" applyAlignment="1" applyProtection="1">
      <alignment horizontal="center" vertical="top" wrapText="1"/>
      <protection hidden="1"/>
    </xf>
    <xf numFmtId="49" fontId="10" fillId="2" borderId="0" xfId="8" applyNumberFormat="1" applyFont="1" applyFill="1" applyBorder="1" applyAlignment="1" applyProtection="1">
      <alignment horizontal="center" vertical="top" wrapText="1"/>
      <protection hidden="1"/>
    </xf>
    <xf numFmtId="49" fontId="8" fillId="2" borderId="0" xfId="7" applyNumberFormat="1" applyFont="1" applyAlignment="1" applyProtection="1">
      <alignment horizontal="center" vertical="top" wrapText="1"/>
      <protection hidden="1"/>
    </xf>
    <xf numFmtId="0" fontId="2" fillId="2" borderId="0" xfId="6" applyProtection="1">
      <protection hidden="1"/>
    </xf>
    <xf numFmtId="3" fontId="5" fillId="2" borderId="7" xfId="1" applyNumberFormat="1" applyFill="1" applyBorder="1" applyAlignment="1" applyProtection="1">
      <alignment horizontal="right" vertical="center"/>
      <protection hidden="1"/>
    </xf>
    <xf numFmtId="3" fontId="4" fillId="0" borderId="8" xfId="0" applyNumberFormat="1" applyFont="1" applyFill="1" applyBorder="1" applyAlignment="1" applyProtection="1">
      <alignment horizontal="center" vertical="top" wrapText="1"/>
      <protection hidden="1"/>
    </xf>
    <xf numFmtId="3" fontId="4" fillId="2" borderId="8" xfId="0" applyNumberFormat="1" applyFont="1" applyFill="1" applyBorder="1" applyAlignment="1" applyProtection="1">
      <alignment horizontal="left" vertical="top" wrapText="1"/>
      <protection hidden="1"/>
    </xf>
    <xf numFmtId="3" fontId="4" fillId="2" borderId="8" xfId="0" applyNumberFormat="1" applyFont="1" applyBorder="1" applyAlignment="1" applyProtection="1">
      <alignment wrapText="1"/>
      <protection hidden="1"/>
    </xf>
    <xf numFmtId="3" fontId="0" fillId="2" borderId="9" xfId="0" applyNumberFormat="1" applyBorder="1" applyProtection="1">
      <protection hidden="1"/>
    </xf>
    <xf numFmtId="0" fontId="2" fillId="2" borderId="0" xfId="0" applyNumberFormat="1" applyFont="1" applyFill="1" applyBorder="1" applyAlignment="1" applyProtection="1">
      <alignment horizontal="justify" vertical="top" wrapText="1"/>
      <protection hidden="1"/>
    </xf>
    <xf numFmtId="0" fontId="2" fillId="2" borderId="0" xfId="0" applyFont="1" applyFill="1" applyAlignment="1" applyProtection="1">
      <alignment horizontal="justify" vertical="top" wrapText="1"/>
      <protection hidden="1"/>
    </xf>
    <xf numFmtId="0" fontId="30" fillId="0" borderId="0" xfId="4" applyFont="1"/>
    <xf numFmtId="1" fontId="30" fillId="2" borderId="0" xfId="4" applyNumberFormat="1" applyFont="1" applyFill="1" applyProtection="1">
      <protection hidden="1"/>
    </xf>
    <xf numFmtId="0" fontId="30" fillId="2" borderId="0" xfId="4" applyFont="1" applyFill="1" applyProtection="1">
      <protection hidden="1"/>
    </xf>
    <xf numFmtId="0" fontId="30" fillId="0" borderId="0" xfId="4" applyFont="1" applyProtection="1">
      <protection hidden="1"/>
    </xf>
    <xf numFmtId="0" fontId="30" fillId="2" borderId="0" xfId="4" applyFont="1" applyFill="1" applyAlignment="1" applyProtection="1">
      <alignment horizontal="right"/>
      <protection hidden="1"/>
    </xf>
    <xf numFmtId="14" fontId="30" fillId="0" borderId="0" xfId="4" applyNumberFormat="1" applyFont="1"/>
    <xf numFmtId="165" fontId="30" fillId="2" borderId="0" xfId="4" applyNumberFormat="1" applyFont="1" applyFill="1" applyAlignment="1" applyProtection="1">
      <alignment horizontal="right"/>
      <protection hidden="1"/>
    </xf>
    <xf numFmtId="0" fontId="31" fillId="0" borderId="0" xfId="1" applyFont="1" applyAlignment="1" applyProtection="1"/>
    <xf numFmtId="1" fontId="30" fillId="0" borderId="0" xfId="4" applyNumberFormat="1" applyFont="1"/>
    <xf numFmtId="49" fontId="30" fillId="2" borderId="0" xfId="4" applyNumberFormat="1" applyFont="1" applyFill="1" applyProtection="1">
      <protection hidden="1"/>
    </xf>
    <xf numFmtId="0" fontId="25" fillId="0" borderId="0" xfId="4" applyFont="1" applyAlignment="1" applyProtection="1">
      <alignment horizontal="center"/>
      <protection hidden="1"/>
    </xf>
    <xf numFmtId="0" fontId="26" fillId="0" borderId="0" xfId="4" applyFont="1" applyAlignment="1" applyProtection="1">
      <alignment horizontal="center"/>
      <protection hidden="1"/>
    </xf>
    <xf numFmtId="0" fontId="25" fillId="0" borderId="0" xfId="4" applyFont="1" applyAlignment="1" applyProtection="1">
      <alignment horizontal="center" vertical="top" wrapText="1"/>
      <protection hidden="1"/>
    </xf>
    <xf numFmtId="0" fontId="5" fillId="0" borderId="0" xfId="1" applyFill="1" applyBorder="1" applyAlignment="1" applyProtection="1">
      <alignment horizontal="center"/>
      <protection hidden="1"/>
    </xf>
    <xf numFmtId="0" fontId="2" fillId="0" borderId="0" xfId="4" applyFont="1" applyAlignment="1" applyProtection="1">
      <alignment horizontal="center"/>
      <protection hidden="1"/>
    </xf>
    <xf numFmtId="0" fontId="5" fillId="0" borderId="0" xfId="1" applyBorder="1" applyAlignment="1" applyProtection="1">
      <alignment horizontal="center"/>
      <protection hidden="1"/>
    </xf>
    <xf numFmtId="0" fontId="24" fillId="0" borderId="0" xfId="4" applyFont="1" applyAlignment="1" applyProtection="1">
      <alignment horizontal="center"/>
      <protection hidden="1"/>
    </xf>
    <xf numFmtId="0" fontId="25" fillId="0" borderId="0" xfId="4" applyFont="1" applyAlignment="1" applyProtection="1">
      <alignment horizontal="justify" vertical="top" wrapText="1"/>
      <protection hidden="1"/>
    </xf>
    <xf numFmtId="3" fontId="11" fillId="2" borderId="0" xfId="1" applyNumberFormat="1" applyFont="1" applyFill="1" applyAlignment="1" applyProtection="1">
      <alignment horizontal="center" vertical="top"/>
      <protection hidden="1"/>
    </xf>
    <xf numFmtId="3" fontId="10" fillId="2" borderId="0" xfId="1" applyNumberFormat="1" applyFont="1" applyFill="1" applyAlignment="1" applyProtection="1">
      <alignment horizontal="center" vertical="top"/>
      <protection hidden="1"/>
    </xf>
    <xf numFmtId="3" fontId="8" fillId="2" borderId="0" xfId="3" applyNumberFormat="1" applyFont="1" applyAlignment="1" applyProtection="1">
      <alignment horizontal="center" vertical="top"/>
      <protection hidden="1"/>
    </xf>
    <xf numFmtId="3" fontId="19" fillId="0" borderId="0" xfId="0" applyNumberFormat="1" applyFont="1" applyFill="1" applyBorder="1" applyAlignment="1" applyProtection="1">
      <alignment horizontal="center" vertical="top"/>
      <protection hidden="1"/>
    </xf>
    <xf numFmtId="3" fontId="20" fillId="0" borderId="0" xfId="0" applyNumberFormat="1" applyFont="1" applyFill="1" applyBorder="1" applyAlignment="1" applyProtection="1">
      <alignment horizontal="center" vertical="top"/>
      <protection hidden="1"/>
    </xf>
    <xf numFmtId="3" fontId="20" fillId="0" borderId="0" xfId="0" applyNumberFormat="1" applyFont="1" applyFill="1" applyBorder="1" applyAlignment="1" applyProtection="1">
      <protection hidden="1"/>
    </xf>
    <xf numFmtId="3" fontId="10" fillId="2" borderId="0" xfId="3" applyNumberFormat="1" applyFont="1" applyBorder="1" applyAlignment="1" applyProtection="1">
      <alignment horizontal="center" vertical="top"/>
      <protection hidden="1"/>
    </xf>
    <xf numFmtId="3" fontId="11" fillId="0" borderId="0" xfId="1" applyNumberFormat="1" applyFont="1" applyBorder="1" applyAlignment="1" applyProtection="1">
      <alignment horizontal="center" vertical="top"/>
      <protection hidden="1"/>
    </xf>
    <xf numFmtId="3" fontId="17" fillId="2" borderId="0" xfId="0" applyNumberFormat="1" applyFont="1" applyBorder="1" applyAlignment="1" applyProtection="1">
      <alignment horizontal="center" vertical="top"/>
      <protection hidden="1"/>
    </xf>
    <xf numFmtId="3" fontId="4" fillId="0" borderId="7" xfId="0" applyNumberFormat="1" applyFont="1" applyFill="1" applyBorder="1" applyAlignment="1" applyProtection="1">
      <alignment horizontal="justify" vertical="top" wrapText="1"/>
      <protection hidden="1"/>
    </xf>
    <xf numFmtId="3" fontId="4" fillId="2" borderId="8" xfId="0" applyNumberFormat="1" applyFont="1" applyBorder="1" applyAlignment="1" applyProtection="1">
      <alignment horizontal="justify" vertical="top" wrapText="1"/>
      <protection hidden="1"/>
    </xf>
    <xf numFmtId="3" fontId="0" fillId="2" borderId="9" xfId="0" applyNumberFormat="1" applyBorder="1" applyAlignment="1" applyProtection="1">
      <alignment horizontal="justify" vertical="top"/>
      <protection hidden="1"/>
    </xf>
    <xf numFmtId="3" fontId="12" fillId="2" borderId="1" xfId="1" applyNumberFormat="1" applyFont="1" applyFill="1" applyBorder="1" applyAlignment="1" applyProtection="1">
      <alignment horizontal="left" vertical="top" wrapText="1"/>
      <protection hidden="1"/>
    </xf>
    <xf numFmtId="3" fontId="12" fillId="2" borderId="0" xfId="1" applyNumberFormat="1" applyFont="1" applyFill="1" applyBorder="1" applyAlignment="1" applyProtection="1">
      <protection hidden="1"/>
    </xf>
    <xf numFmtId="3" fontId="4" fillId="2" borderId="1" xfId="1" applyNumberFormat="1" applyFont="1" applyFill="1" applyBorder="1" applyAlignment="1" applyProtection="1">
      <alignment horizontal="left" vertical="top" wrapText="1"/>
      <protection hidden="1"/>
    </xf>
    <xf numFmtId="3" fontId="0" fillId="2" borderId="6" xfId="0" applyNumberFormat="1" applyBorder="1" applyAlignment="1" applyProtection="1">
      <alignment horizontal="left" vertical="top"/>
      <protection hidden="1"/>
    </xf>
    <xf numFmtId="3" fontId="4" fillId="2" borderId="0" xfId="1" applyNumberFormat="1" applyFont="1" applyFill="1" applyBorder="1" applyAlignment="1" applyProtection="1">
      <alignment horizontal="left" vertical="top" wrapText="1"/>
      <protection hidden="1"/>
    </xf>
    <xf numFmtId="3" fontId="4" fillId="0" borderId="0" xfId="0" applyNumberFormat="1" applyFont="1" applyFill="1" applyBorder="1" applyAlignment="1" applyProtection="1">
      <alignment horizontal="center" vertical="top" wrapText="1"/>
      <protection hidden="1"/>
    </xf>
    <xf numFmtId="0" fontId="0" fillId="2" borderId="0" xfId="0" applyAlignment="1"/>
    <xf numFmtId="0" fontId="0" fillId="2" borderId="6" xfId="0" applyBorder="1" applyAlignment="1"/>
    <xf numFmtId="3" fontId="14" fillId="2" borderId="0" xfId="0" applyNumberFormat="1" applyFont="1" applyBorder="1" applyAlignment="1" applyProtection="1">
      <alignment horizontal="center" vertical="top" wrapText="1"/>
      <protection hidden="1"/>
    </xf>
    <xf numFmtId="3" fontId="0" fillId="2" borderId="0" xfId="0" applyNumberFormat="1" applyBorder="1" applyAlignment="1" applyProtection="1">
      <protection hidden="1"/>
    </xf>
    <xf numFmtId="3" fontId="0" fillId="2" borderId="0" xfId="0" applyNumberFormat="1" applyBorder="1" applyAlignment="1" applyProtection="1">
      <alignment horizontal="center" vertical="top" wrapText="1"/>
      <protection hidden="1"/>
    </xf>
    <xf numFmtId="3" fontId="4" fillId="2" borderId="14" xfId="0" applyNumberFormat="1" applyFont="1" applyFill="1" applyBorder="1" applyAlignment="1" applyProtection="1">
      <alignment horizontal="center" vertical="top" wrapText="1"/>
      <protection hidden="1"/>
    </xf>
    <xf numFmtId="3" fontId="0" fillId="2" borderId="13" xfId="0" applyNumberFormat="1" applyBorder="1" applyAlignment="1" applyProtection="1">
      <alignment horizontal="center" vertical="top" wrapText="1"/>
      <protection hidden="1"/>
    </xf>
    <xf numFmtId="3" fontId="0" fillId="2" borderId="11" xfId="0" applyNumberFormat="1" applyBorder="1" applyAlignment="1" applyProtection="1">
      <alignment vertical="top"/>
      <protection hidden="1"/>
    </xf>
    <xf numFmtId="0" fontId="0" fillId="2" borderId="6" xfId="0" applyBorder="1" applyAlignment="1" applyProtection="1">
      <alignment horizontal="left" vertical="top"/>
      <protection hidden="1"/>
    </xf>
    <xf numFmtId="3" fontId="5" fillId="2" borderId="7" xfId="1" applyNumberFormat="1" applyFill="1" applyBorder="1" applyAlignment="1" applyProtection="1">
      <alignment horizontal="center" vertical="top" wrapText="1"/>
      <protection hidden="1"/>
    </xf>
    <xf numFmtId="3" fontId="5" fillId="2" borderId="8" xfId="1" applyNumberFormat="1" applyFill="1" applyBorder="1" applyAlignment="1" applyProtection="1">
      <alignment horizontal="center" vertical="top" wrapText="1"/>
      <protection hidden="1"/>
    </xf>
    <xf numFmtId="3" fontId="5" fillId="2" borderId="9" xfId="1" applyNumberFormat="1" applyFill="1" applyBorder="1" applyAlignment="1" applyProtection="1">
      <alignment vertical="top"/>
      <protection hidden="1"/>
    </xf>
    <xf numFmtId="3" fontId="4" fillId="2" borderId="0" xfId="0" applyNumberFormat="1" applyFont="1" applyBorder="1" applyAlignment="1" applyProtection="1">
      <alignment horizontal="left" vertical="top" wrapText="1"/>
      <protection hidden="1"/>
    </xf>
    <xf numFmtId="3" fontId="0" fillId="2" borderId="0" xfId="0" applyNumberFormat="1" applyBorder="1" applyProtection="1">
      <protection hidden="1"/>
    </xf>
    <xf numFmtId="3" fontId="0" fillId="2" borderId="6" xfId="0" applyNumberFormat="1" applyBorder="1" applyProtection="1">
      <protection hidden="1"/>
    </xf>
    <xf numFmtId="3" fontId="0" fillId="2" borderId="0" xfId="0" applyNumberFormat="1" applyBorder="1" applyAlignment="1" applyProtection="1">
      <alignment vertical="top"/>
      <protection hidden="1"/>
    </xf>
    <xf numFmtId="3" fontId="0" fillId="2" borderId="6" xfId="0" applyNumberFormat="1" applyBorder="1" applyAlignment="1" applyProtection="1">
      <alignment vertical="top"/>
      <protection hidden="1"/>
    </xf>
    <xf numFmtId="3" fontId="0" fillId="8" borderId="0" xfId="0" applyNumberFormat="1" applyFill="1" applyBorder="1" applyAlignment="1" applyProtection="1">
      <protection locked="0" hidden="1"/>
    </xf>
    <xf numFmtId="3" fontId="0" fillId="2" borderId="0" xfId="0" applyNumberFormat="1" applyBorder="1" applyAlignment="1" applyProtection="1">
      <protection locked="0" hidden="1"/>
    </xf>
    <xf numFmtId="3" fontId="12" fillId="2" borderId="0" xfId="1" applyNumberFormat="1" applyFont="1" applyFill="1" applyAlignment="1" applyProtection="1">
      <alignment vertical="top" wrapText="1"/>
      <protection hidden="1"/>
    </xf>
    <xf numFmtId="3" fontId="4" fillId="0" borderId="0" xfId="1" applyNumberFormat="1" applyFont="1" applyFill="1" applyBorder="1" applyAlignment="1" applyProtection="1">
      <alignment horizontal="left" vertical="top" wrapText="1"/>
      <protection hidden="1"/>
    </xf>
    <xf numFmtId="3" fontId="0" fillId="2" borderId="0" xfId="0" applyNumberFormat="1" applyBorder="1" applyAlignment="1" applyProtection="1">
      <alignment horizontal="left" vertical="top"/>
      <protection hidden="1"/>
    </xf>
    <xf numFmtId="0" fontId="0" fillId="2" borderId="0" xfId="0" applyAlignment="1" applyProtection="1">
      <alignment horizontal="left" vertical="top"/>
      <protection hidden="1"/>
    </xf>
    <xf numFmtId="3" fontId="21" fillId="0" borderId="23" xfId="0" applyNumberFormat="1" applyFont="1" applyFill="1" applyBorder="1" applyAlignment="1" applyProtection="1">
      <alignment horizontal="center" vertical="top" wrapText="1"/>
      <protection hidden="1"/>
    </xf>
    <xf numFmtId="3" fontId="22" fillId="0" borderId="24" xfId="0" applyNumberFormat="1" applyFont="1" applyFill="1" applyBorder="1" applyAlignment="1" applyProtection="1">
      <alignment horizontal="center" vertical="top" wrapText="1"/>
      <protection hidden="1"/>
    </xf>
    <xf numFmtId="3" fontId="22" fillId="0" borderId="25" xfId="0" applyNumberFormat="1" applyFont="1" applyFill="1" applyBorder="1" applyAlignment="1" applyProtection="1">
      <alignment vertical="top"/>
      <protection hidden="1"/>
    </xf>
    <xf numFmtId="3" fontId="0" fillId="2" borderId="0" xfId="0" applyNumberFormat="1" applyAlignment="1" applyProtection="1">
      <alignment horizontal="left" vertical="top"/>
      <protection hidden="1"/>
    </xf>
    <xf numFmtId="49" fontId="11" fillId="2" borderId="0" xfId="1" applyNumberFormat="1" applyFont="1" applyFill="1" applyAlignment="1" applyProtection="1">
      <alignment horizontal="center" vertical="top" wrapText="1"/>
      <protection hidden="1"/>
    </xf>
    <xf numFmtId="49" fontId="10" fillId="2" borderId="0" xfId="1" applyNumberFormat="1" applyFont="1" applyFill="1" applyAlignment="1" applyProtection="1">
      <alignment horizontal="center" vertical="top" wrapText="1"/>
      <protection hidden="1"/>
    </xf>
    <xf numFmtId="49" fontId="8" fillId="2" borderId="0" xfId="3" applyNumberFormat="1" applyFont="1" applyAlignment="1" applyProtection="1">
      <alignment horizontal="center" vertical="top" wrapText="1"/>
      <protection hidden="1"/>
    </xf>
    <xf numFmtId="0" fontId="0" fillId="2" borderId="0" xfId="0" applyBorder="1" applyAlignment="1">
      <alignment vertical="top"/>
    </xf>
    <xf numFmtId="49" fontId="10" fillId="2" borderId="0" xfId="3" applyNumberFormat="1" applyFont="1" applyBorder="1" applyAlignment="1" applyProtection="1">
      <alignment horizontal="center" vertical="top"/>
      <protection hidden="1"/>
    </xf>
    <xf numFmtId="49" fontId="11" fillId="0" borderId="0" xfId="1" applyNumberFormat="1" applyFont="1" applyBorder="1" applyAlignment="1" applyProtection="1">
      <alignment horizontal="center" vertical="top" wrapText="1"/>
      <protection hidden="1"/>
    </xf>
    <xf numFmtId="49" fontId="10" fillId="2" borderId="0" xfId="3" applyNumberFormat="1" applyFont="1" applyBorder="1" applyAlignment="1" applyProtection="1">
      <alignment horizontal="center" vertical="top" wrapText="1"/>
      <protection hidden="1"/>
    </xf>
    <xf numFmtId="0" fontId="14" fillId="2" borderId="0" xfId="0" applyFont="1" applyBorder="1" applyAlignment="1" applyProtection="1">
      <alignment horizontal="center" vertical="top" wrapText="1"/>
      <protection hidden="1"/>
    </xf>
    <xf numFmtId="0" fontId="0" fillId="2" borderId="0" xfId="0" applyBorder="1" applyAlignment="1" applyProtection="1">
      <alignment horizontal="center" vertical="top"/>
      <protection hidden="1"/>
    </xf>
    <xf numFmtId="49" fontId="14" fillId="2" borderId="0" xfId="0" applyNumberFormat="1" applyFont="1" applyBorder="1" applyAlignment="1" applyProtection="1">
      <alignment horizontal="center" vertical="top" wrapText="1"/>
      <protection hidden="1"/>
    </xf>
    <xf numFmtId="49" fontId="0" fillId="2" borderId="0" xfId="0" applyNumberFormat="1" applyBorder="1" applyAlignment="1" applyProtection="1">
      <alignment horizontal="center" vertical="top" wrapText="1"/>
      <protection hidden="1"/>
    </xf>
    <xf numFmtId="0" fontId="24" fillId="0" borderId="12" xfId="4" applyFont="1" applyBorder="1" applyAlignment="1" applyProtection="1">
      <alignment horizontal="center"/>
      <protection hidden="1"/>
    </xf>
    <xf numFmtId="0" fontId="24" fillId="0" borderId="16" xfId="4" applyFont="1" applyBorder="1" applyAlignment="1" applyProtection="1">
      <alignment horizontal="center"/>
      <protection hidden="1"/>
    </xf>
    <xf numFmtId="0" fontId="24" fillId="0" borderId="10" xfId="4" applyFont="1" applyBorder="1" applyAlignment="1" applyProtection="1">
      <alignment horizontal="center"/>
      <protection hidden="1"/>
    </xf>
    <xf numFmtId="0" fontId="4" fillId="2" borderId="7" xfId="0" applyNumberFormat="1" applyFont="1" applyFill="1" applyBorder="1" applyAlignment="1" applyProtection="1">
      <alignment horizontal="justify" vertical="top" wrapText="1"/>
      <protection hidden="1"/>
    </xf>
    <xf numFmtId="0" fontId="0" fillId="2" borderId="8" xfId="0" applyNumberFormat="1" applyBorder="1" applyAlignment="1" applyProtection="1">
      <alignment horizontal="justify" vertical="top" wrapText="1"/>
      <protection hidden="1"/>
    </xf>
    <xf numFmtId="0" fontId="0" fillId="2" borderId="9" xfId="0" applyNumberFormat="1" applyBorder="1" applyAlignment="1" applyProtection="1">
      <alignment horizontal="justify" vertical="top" wrapText="1"/>
      <protection hidden="1"/>
    </xf>
    <xf numFmtId="0" fontId="21" fillId="0" borderId="13" xfId="3" applyFont="1" applyFill="1" applyBorder="1" applyAlignment="1" applyProtection="1">
      <alignment horizontal="center" vertical="top"/>
      <protection hidden="1"/>
    </xf>
    <xf numFmtId="0" fontId="21" fillId="0" borderId="23" xfId="0" applyFont="1" applyFill="1" applyBorder="1" applyAlignment="1" applyProtection="1">
      <alignment horizontal="center" vertical="top" wrapText="1"/>
      <protection hidden="1"/>
    </xf>
    <xf numFmtId="0" fontId="21" fillId="0" borderId="24" xfId="0" applyFont="1" applyFill="1" applyBorder="1" applyAlignment="1" applyProtection="1">
      <alignment horizontal="center" vertical="top" wrapText="1"/>
      <protection hidden="1"/>
    </xf>
    <xf numFmtId="0" fontId="21" fillId="0" borderId="25" xfId="0" applyFont="1" applyFill="1" applyBorder="1" applyAlignment="1" applyProtection="1">
      <alignment horizontal="center" vertical="top" wrapText="1"/>
      <protection hidden="1"/>
    </xf>
    <xf numFmtId="0" fontId="5" fillId="2" borderId="13" xfId="1" applyFill="1" applyBorder="1" applyAlignment="1" applyProtection="1">
      <alignment horizontal="center" vertical="center" wrapText="1"/>
      <protection hidden="1"/>
    </xf>
    <xf numFmtId="0" fontId="5" fillId="2" borderId="11" xfId="1" applyFill="1" applyBorder="1" applyAlignment="1" applyProtection="1">
      <alignment horizontal="center" vertical="center" wrapText="1"/>
      <protection hidden="1"/>
    </xf>
    <xf numFmtId="0" fontId="5" fillId="2" borderId="8" xfId="1" applyFill="1" applyBorder="1" applyAlignment="1" applyProtection="1">
      <alignment horizontal="center" vertical="center" wrapText="1"/>
      <protection hidden="1"/>
    </xf>
    <xf numFmtId="0" fontId="5" fillId="2" borderId="9" xfId="1" applyFill="1" applyBorder="1" applyAlignment="1" applyProtection="1">
      <alignment horizontal="center" vertical="center" wrapText="1"/>
      <protection hidden="1"/>
    </xf>
    <xf numFmtId="0" fontId="5" fillId="0" borderId="1" xfId="1" applyFill="1" applyBorder="1" applyAlignment="1" applyProtection="1">
      <alignment horizontal="right" vertical="top" wrapText="1"/>
      <protection hidden="1"/>
    </xf>
    <xf numFmtId="0" fontId="5" fillId="0" borderId="0" xfId="1" applyFill="1" applyBorder="1" applyAlignment="1" applyProtection="1">
      <alignment horizontal="right" vertical="top" wrapText="1"/>
      <protection hidden="1"/>
    </xf>
    <xf numFmtId="0" fontId="21" fillId="7" borderId="13" xfId="0" applyNumberFormat="1" applyFont="1" applyFill="1" applyBorder="1" applyAlignment="1" applyProtection="1">
      <alignment horizontal="center" vertical="top" wrapText="1"/>
      <protection hidden="1"/>
    </xf>
    <xf numFmtId="49" fontId="17" fillId="0" borderId="0" xfId="0" applyNumberFormat="1" applyFont="1" applyFill="1" applyBorder="1" applyAlignment="1" applyProtection="1">
      <alignment horizontal="center" vertical="top" wrapText="1"/>
      <protection hidden="1"/>
    </xf>
    <xf numFmtId="0" fontId="17" fillId="0" borderId="0" xfId="0" applyNumberFormat="1" applyFont="1" applyFill="1" applyBorder="1" applyAlignment="1" applyProtection="1">
      <alignment horizontal="center" vertical="top" wrapText="1"/>
      <protection hidden="1"/>
    </xf>
    <xf numFmtId="0" fontId="3" fillId="2" borderId="16" xfId="3" applyFont="1" applyFill="1" applyBorder="1" applyAlignment="1" applyProtection="1">
      <alignment horizontal="center" wrapText="1"/>
      <protection hidden="1"/>
    </xf>
    <xf numFmtId="0" fontId="3" fillId="2" borderId="10" xfId="3" applyFont="1" applyFill="1" applyBorder="1" applyAlignment="1" applyProtection="1">
      <alignment horizontal="center" wrapText="1"/>
      <protection hidden="1"/>
    </xf>
    <xf numFmtId="0" fontId="3" fillId="2" borderId="2" xfId="3" applyFont="1" applyFill="1" applyBorder="1" applyAlignment="1" applyProtection="1">
      <alignment horizontal="center" vertical="top" wrapText="1"/>
      <protection hidden="1"/>
    </xf>
    <xf numFmtId="0" fontId="0" fillId="2" borderId="3" xfId="0" applyBorder="1" applyAlignment="1" applyProtection="1">
      <alignment wrapText="1"/>
      <protection hidden="1"/>
    </xf>
    <xf numFmtId="3" fontId="3" fillId="6" borderId="5" xfId="3" applyNumberFormat="1" applyFont="1" applyFill="1" applyBorder="1" applyAlignment="1" applyProtection="1">
      <alignment vertical="top"/>
      <protection locked="0" hidden="1"/>
    </xf>
    <xf numFmtId="0" fontId="0" fillId="6" borderId="3" xfId="0" applyFill="1" applyBorder="1" applyAlignment="1" applyProtection="1">
      <alignment vertical="top"/>
      <protection locked="0"/>
    </xf>
    <xf numFmtId="0" fontId="3" fillId="2" borderId="19" xfId="3" applyFont="1" applyFill="1" applyBorder="1" applyAlignment="1" applyProtection="1">
      <alignment horizontal="center" vertical="top" wrapText="1"/>
      <protection hidden="1"/>
    </xf>
    <xf numFmtId="0" fontId="0" fillId="2" borderId="18" xfId="0" applyBorder="1" applyAlignment="1">
      <alignment wrapText="1"/>
    </xf>
    <xf numFmtId="0" fontId="0" fillId="2" borderId="0" xfId="0" applyAlignment="1" applyProtection="1">
      <protection hidden="1"/>
    </xf>
    <xf numFmtId="0" fontId="11" fillId="2" borderId="0" xfId="1" applyFont="1" applyFill="1" applyAlignment="1" applyProtection="1">
      <protection hidden="1"/>
    </xf>
    <xf numFmtId="0" fontId="3" fillId="6" borderId="16" xfId="3" applyFont="1" applyFill="1" applyBorder="1" applyAlignment="1" applyProtection="1">
      <alignment horizontal="center" wrapText="1"/>
      <protection locked="0" hidden="1"/>
    </xf>
    <xf numFmtId="0" fontId="3" fillId="6" borderId="20" xfId="3" applyFont="1" applyFill="1" applyBorder="1" applyAlignment="1" applyProtection="1">
      <alignment horizontal="center" vertical="top" wrapText="1"/>
      <protection locked="0" hidden="1"/>
    </xf>
    <xf numFmtId="0" fontId="0" fillId="6" borderId="21" xfId="0" applyFill="1" applyBorder="1" applyAlignment="1" applyProtection="1">
      <alignment wrapText="1"/>
      <protection locked="0" hidden="1"/>
    </xf>
    <xf numFmtId="0" fontId="16" fillId="2" borderId="0" xfId="0" applyFont="1" applyBorder="1" applyAlignment="1" applyProtection="1">
      <protection hidden="1"/>
    </xf>
    <xf numFmtId="0" fontId="21" fillId="7" borderId="4" xfId="3" applyNumberFormat="1" applyFont="1" applyFill="1" applyBorder="1" applyAlignment="1" applyProtection="1">
      <alignment horizontal="center" vertical="top"/>
      <protection hidden="1"/>
    </xf>
    <xf numFmtId="0" fontId="22" fillId="7" borderId="4" xfId="0" applyNumberFormat="1" applyFont="1" applyFill="1" applyBorder="1" applyAlignment="1" applyProtection="1">
      <alignment horizontal="center"/>
      <protection hidden="1"/>
    </xf>
    <xf numFmtId="0" fontId="0" fillId="2" borderId="1" xfId="0" applyBorder="1" applyAlignment="1" applyProtection="1">
      <alignment vertical="top"/>
      <protection hidden="1"/>
    </xf>
    <xf numFmtId="0" fontId="3" fillId="2" borderId="5" xfId="3" applyFont="1" applyFill="1" applyBorder="1" applyAlignment="1" applyProtection="1">
      <alignment horizontal="center" vertical="top" wrapText="1"/>
      <protection hidden="1"/>
    </xf>
    <xf numFmtId="0" fontId="0" fillId="2" borderId="3" xfId="0" applyBorder="1" applyAlignment="1" applyProtection="1">
      <alignment vertical="top" wrapText="1"/>
      <protection hidden="1"/>
    </xf>
    <xf numFmtId="0" fontId="0" fillId="2" borderId="0" xfId="0" applyAlignment="1" applyProtection="1">
      <alignment vertical="top"/>
      <protection hidden="1"/>
    </xf>
    <xf numFmtId="49" fontId="11" fillId="2" borderId="0" xfId="1" applyNumberFormat="1" applyFont="1" applyFill="1" applyAlignment="1" applyProtection="1">
      <alignment horizontal="center" vertical="top"/>
      <protection hidden="1"/>
    </xf>
    <xf numFmtId="0" fontId="0" fillId="2" borderId="0" xfId="0" applyAlignment="1">
      <alignment vertical="top"/>
    </xf>
    <xf numFmtId="49" fontId="10" fillId="2" borderId="0" xfId="1" applyNumberFormat="1" applyFont="1" applyFill="1" applyAlignment="1" applyProtection="1">
      <alignment horizontal="center" vertical="top"/>
      <protection hidden="1"/>
    </xf>
    <xf numFmtId="0" fontId="11" fillId="2" borderId="0" xfId="1" applyFont="1" applyFill="1" applyAlignment="1" applyProtection="1">
      <alignment vertical="top"/>
    </xf>
    <xf numFmtId="49" fontId="8" fillId="2" borderId="0" xfId="3" applyNumberFormat="1" applyFont="1" applyAlignment="1" applyProtection="1">
      <alignment horizontal="center" vertical="top"/>
      <protection hidden="1"/>
    </xf>
    <xf numFmtId="49" fontId="11" fillId="0" borderId="0" xfId="1" applyNumberFormat="1" applyFont="1" applyBorder="1" applyAlignment="1" applyProtection="1">
      <alignment horizontal="center" vertical="top"/>
      <protection hidden="1"/>
    </xf>
    <xf numFmtId="0" fontId="22" fillId="7" borderId="13" xfId="0" applyNumberFormat="1" applyFont="1" applyFill="1" applyBorder="1" applyAlignment="1" applyProtection="1">
      <alignment horizontal="center" vertical="top" wrapText="1"/>
      <protection hidden="1"/>
    </xf>
    <xf numFmtId="49" fontId="12" fillId="2" borderId="14" xfId="1" applyNumberFormat="1" applyFont="1" applyFill="1" applyBorder="1" applyAlignment="1" applyProtection="1">
      <alignment horizontal="center" vertical="top" wrapText="1"/>
      <protection hidden="1"/>
    </xf>
    <xf numFmtId="0" fontId="12" fillId="2" borderId="13" xfId="1" applyFont="1" applyFill="1" applyBorder="1" applyAlignment="1" applyProtection="1">
      <alignment horizontal="center" vertical="top" wrapText="1"/>
      <protection hidden="1"/>
    </xf>
    <xf numFmtId="0" fontId="12" fillId="2" borderId="11" xfId="1" applyFont="1" applyFill="1" applyBorder="1" applyAlignment="1" applyProtection="1">
      <alignment horizontal="center" vertical="top" wrapText="1"/>
      <protection hidden="1"/>
    </xf>
    <xf numFmtId="49" fontId="3" fillId="0" borderId="7" xfId="0" applyNumberFormat="1" applyFont="1" applyFill="1" applyBorder="1" applyAlignment="1" applyProtection="1">
      <alignment horizontal="center" vertical="top" wrapText="1"/>
      <protection hidden="1"/>
    </xf>
    <xf numFmtId="0" fontId="0" fillId="2" borderId="0" xfId="0" applyBorder="1" applyAlignment="1" applyProtection="1">
      <alignment horizontal="center" vertical="top" wrapText="1"/>
      <protection hidden="1"/>
    </xf>
    <xf numFmtId="0" fontId="0" fillId="2" borderId="9" xfId="0" applyBorder="1" applyAlignment="1" applyProtection="1">
      <alignment horizontal="center" vertical="top" wrapText="1"/>
      <protection hidden="1"/>
    </xf>
    <xf numFmtId="0" fontId="4" fillId="2" borderId="7" xfId="0" applyNumberFormat="1" applyFont="1" applyFill="1" applyBorder="1" applyAlignment="1" applyProtection="1">
      <alignment horizontal="left" vertical="top" wrapText="1"/>
      <protection hidden="1"/>
    </xf>
    <xf numFmtId="0" fontId="4" fillId="2" borderId="8" xfId="0" applyNumberFormat="1" applyFont="1" applyBorder="1" applyAlignment="1" applyProtection="1">
      <alignment horizontal="left" vertical="top" wrapText="1"/>
      <protection hidden="1"/>
    </xf>
    <xf numFmtId="0" fontId="4" fillId="2" borderId="9" xfId="0" applyNumberFormat="1" applyFont="1" applyBorder="1" applyAlignment="1" applyProtection="1">
      <alignment horizontal="left" vertical="top" wrapText="1"/>
      <protection hidden="1"/>
    </xf>
    <xf numFmtId="0" fontId="8" fillId="0" borderId="13" xfId="3" applyFont="1" applyFill="1" applyBorder="1" applyAlignment="1" applyProtection="1">
      <protection hidden="1"/>
    </xf>
    <xf numFmtId="0" fontId="2" fillId="0" borderId="13" xfId="3" applyFill="1" applyBorder="1" applyAlignment="1" applyProtection="1">
      <protection hidden="1"/>
    </xf>
    <xf numFmtId="0" fontId="6" fillId="0" borderId="0" xfId="3" applyFont="1" applyFill="1" applyBorder="1" applyAlignment="1" applyProtection="1">
      <alignment horizontal="justify" vertical="top" wrapText="1"/>
      <protection hidden="1"/>
    </xf>
    <xf numFmtId="0" fontId="2" fillId="0" borderId="0" xfId="3" applyFill="1" applyBorder="1" applyAlignment="1" applyProtection="1">
      <alignment wrapText="1"/>
      <protection hidden="1"/>
    </xf>
    <xf numFmtId="0" fontId="3" fillId="0" borderId="0" xfId="3" applyFont="1" applyFill="1" applyBorder="1" applyAlignment="1" applyProtection="1">
      <alignment wrapText="1"/>
      <protection hidden="1"/>
    </xf>
  </cellXfs>
  <cellStyles count="9">
    <cellStyle name="Hyperlink" xfId="1" builtinId="8"/>
    <cellStyle name="Hyperlink 2 2" xfId="8" xr:uid="{85A7E8B8-F845-4513-9F39-7FF641353D74}"/>
    <cellStyle name="Hyperlink 3" xfId="5" xr:uid="{B6064EE6-239D-4ACF-B605-4EBD267596CF}"/>
    <cellStyle name="Normal" xfId="0" builtinId="0"/>
    <cellStyle name="Normal 2 2" xfId="6" xr:uid="{B13DFA4B-8DEC-4F3D-A3F0-F18242C69B35}"/>
    <cellStyle name="Normal 4" xfId="4" xr:uid="{342CE012-8783-41C7-8072-42CFE7224DAD}"/>
    <cellStyle name="Normal_Business Valuation Model Excel" xfId="2" xr:uid="{00000000-0005-0000-0000-000002000000}"/>
    <cellStyle name="Normal_Business_Valuation_Model_Excel_21" xfId="3" xr:uid="{00000000-0005-0000-0000-000003000000}"/>
    <cellStyle name="Normal_Business_Valuation_Model_Excel_21 2 2" xfId="7" xr:uid="{4958205B-F7EF-498F-9AE6-EDB86D17FA21}"/>
  </cellStyles>
  <dxfs count="0"/>
  <tableStyles count="0" defaultTableStyle="TableStyleMedium9" defaultPivotStyle="PivotStyleLight16"/>
  <colors>
    <mruColors>
      <color rgb="FF00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1.xml"/><Relationship Id="rId13" Type="http://schemas.openxmlformats.org/officeDocument/2006/relationships/chartsheet" Target="chartsheets/sheet5.xml"/><Relationship Id="rId18" Type="http://schemas.openxmlformats.org/officeDocument/2006/relationships/worksheet" Target="worksheets/sheet1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8.xml"/><Relationship Id="rId17" Type="http://schemas.openxmlformats.org/officeDocument/2006/relationships/worksheet" Target="worksheets/sheet11.xml"/><Relationship Id="rId2" Type="http://schemas.openxmlformats.org/officeDocument/2006/relationships/worksheet" Target="worksheets/sheet2.xml"/><Relationship Id="rId16" Type="http://schemas.openxmlformats.org/officeDocument/2006/relationships/worksheet" Target="worksheets/sheet10.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4.xml"/><Relationship Id="rId5" Type="http://schemas.openxmlformats.org/officeDocument/2006/relationships/worksheet" Target="worksheets/sheet5.xml"/><Relationship Id="rId15" Type="http://schemas.openxmlformats.org/officeDocument/2006/relationships/chartsheet" Target="chartsheets/sheet6.xml"/><Relationship Id="rId23" Type="http://schemas.microsoft.com/office/2006/relationships/vbaProject" Target="vbaProject.bin"/><Relationship Id="rId10" Type="http://schemas.openxmlformats.org/officeDocument/2006/relationships/chartsheet" Target="chartsheets/sheet3.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chartsheet" Target="chartsheets/sheet2.xml"/><Relationship Id="rId14" Type="http://schemas.openxmlformats.org/officeDocument/2006/relationships/worksheet" Target="worksheets/sheet9.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sng" strike="noStrike" baseline="0">
                <a:solidFill>
                  <a:srgbClr val="000000"/>
                </a:solidFill>
                <a:latin typeface="Arial"/>
                <a:ea typeface="Arial"/>
                <a:cs typeface="Arial"/>
              </a:defRPr>
            </a:pPr>
            <a:r>
              <a:rPr lang="en-AU"/>
              <a:t>Forecast Revenue</a:t>
            </a:r>
          </a:p>
        </c:rich>
      </c:tx>
      <c:layout>
        <c:manualLayout>
          <c:xMode val="edge"/>
          <c:yMode val="edge"/>
          <c:x val="0"/>
          <c:y val="1.6949152542372935E-3"/>
        </c:manualLayout>
      </c:layout>
      <c:overlay val="0"/>
      <c:spPr>
        <a:noFill/>
        <a:ln w="25400">
          <a:noFill/>
        </a:ln>
      </c:spPr>
    </c:title>
    <c:autoTitleDeleted val="0"/>
    <c:plotArea>
      <c:layout>
        <c:manualLayout>
          <c:layoutTarget val="inner"/>
          <c:xMode val="edge"/>
          <c:yMode val="edge"/>
          <c:x val="0.13857290589451912"/>
          <c:y val="0.18474576271186507"/>
          <c:w val="0.83350568769390065"/>
          <c:h val="0.5525423728813541"/>
        </c:manualLayout>
      </c:layout>
      <c:lineChart>
        <c:grouping val="standard"/>
        <c:varyColors val="0"/>
        <c:ser>
          <c:idx val="0"/>
          <c:order val="0"/>
          <c:tx>
            <c:strRef>
              <c:f>Worksheet!$J$4</c:f>
              <c:strCache>
                <c:ptCount val="1"/>
                <c:pt idx="0">
                  <c:v>Optimistic</c:v>
                </c:pt>
              </c:strCache>
            </c:strRef>
          </c:tx>
          <c:spPr>
            <a:ln w="38100">
              <a:solidFill>
                <a:srgbClr val="0000FF"/>
              </a:solidFill>
              <a:prstDash val="solid"/>
            </a:ln>
          </c:spPr>
          <c:marker>
            <c:symbol val="diamond"/>
            <c:size val="10"/>
            <c:spPr>
              <a:solidFill>
                <a:srgbClr val="0000FF"/>
              </a:solidFill>
              <a:ln>
                <a:solidFill>
                  <a:srgbClr val="0000FF"/>
                </a:solidFill>
                <a:prstDash val="solid"/>
              </a:ln>
            </c:spPr>
          </c:marker>
          <c:cat>
            <c:strRef>
              <c:f>Worksheet!$C$4:$F$4</c:f>
              <c:strCache>
                <c:ptCount val="4"/>
                <c:pt idx="0">
                  <c:v>Current Year</c:v>
                </c:pt>
                <c:pt idx="1">
                  <c:v>Year 1</c:v>
                </c:pt>
                <c:pt idx="2">
                  <c:v>Year 2</c:v>
                </c:pt>
                <c:pt idx="3">
                  <c:v>Year 3</c:v>
                </c:pt>
              </c:strCache>
            </c:strRef>
          </c:cat>
          <c:val>
            <c:numRef>
              <c:f>Worksheet!$K$5:$N$5</c:f>
              <c:numCache>
                <c:formatCode>#,##0</c:formatCode>
                <c:ptCount val="4"/>
                <c:pt idx="0">
                  <c:v>500000</c:v>
                </c:pt>
                <c:pt idx="1">
                  <c:v>579687.5</c:v>
                </c:pt>
                <c:pt idx="2">
                  <c:v>614468.75</c:v>
                </c:pt>
                <c:pt idx="3">
                  <c:v>660362.68153526972</c:v>
                </c:pt>
              </c:numCache>
            </c:numRef>
          </c:val>
          <c:smooth val="0"/>
          <c:extLst>
            <c:ext xmlns:c16="http://schemas.microsoft.com/office/drawing/2014/chart" uri="{C3380CC4-5D6E-409C-BE32-E72D297353CC}">
              <c16:uniqueId val="{00000000-777C-46A6-A93A-B13E3FC83FAA}"/>
            </c:ext>
          </c:extLst>
        </c:ser>
        <c:ser>
          <c:idx val="4"/>
          <c:order val="1"/>
          <c:tx>
            <c:strRef>
              <c:f>Worksheet!$B$4</c:f>
              <c:strCache>
                <c:ptCount val="1"/>
                <c:pt idx="0">
                  <c:v>Expected</c:v>
                </c:pt>
              </c:strCache>
            </c:strRef>
          </c:tx>
          <c:spPr>
            <a:ln w="38100">
              <a:solidFill>
                <a:srgbClr val="00FF00"/>
              </a:solidFill>
              <a:prstDash val="solid"/>
            </a:ln>
          </c:spPr>
          <c:marker>
            <c:symbol val="square"/>
            <c:size val="10"/>
            <c:spPr>
              <a:solidFill>
                <a:srgbClr val="00FF00"/>
              </a:solidFill>
              <a:ln>
                <a:solidFill>
                  <a:srgbClr val="00FF00"/>
                </a:solidFill>
                <a:prstDash val="solid"/>
              </a:ln>
            </c:spPr>
          </c:marker>
          <c:cat>
            <c:strRef>
              <c:f>Worksheet!$C$4:$F$4</c:f>
              <c:strCache>
                <c:ptCount val="4"/>
                <c:pt idx="0">
                  <c:v>Current Year</c:v>
                </c:pt>
                <c:pt idx="1">
                  <c:v>Year 1</c:v>
                </c:pt>
                <c:pt idx="2">
                  <c:v>Year 2</c:v>
                </c:pt>
                <c:pt idx="3">
                  <c:v>Year 3</c:v>
                </c:pt>
              </c:strCache>
            </c:strRef>
          </c:cat>
          <c:val>
            <c:numRef>
              <c:f>Worksheet!$C$5:$F$5</c:f>
              <c:numCache>
                <c:formatCode>#,##0</c:formatCode>
                <c:ptCount val="4"/>
                <c:pt idx="0">
                  <c:v>500000</c:v>
                </c:pt>
                <c:pt idx="1">
                  <c:v>560679.61165048543</c:v>
                </c:pt>
                <c:pt idx="2">
                  <c:v>588713.59223300975</c:v>
                </c:pt>
                <c:pt idx="3">
                  <c:v>625128.8659793816</c:v>
                </c:pt>
              </c:numCache>
            </c:numRef>
          </c:val>
          <c:smooth val="0"/>
          <c:extLst>
            <c:ext xmlns:c16="http://schemas.microsoft.com/office/drawing/2014/chart" uri="{C3380CC4-5D6E-409C-BE32-E72D297353CC}">
              <c16:uniqueId val="{00000001-777C-46A6-A93A-B13E3FC83FAA}"/>
            </c:ext>
          </c:extLst>
        </c:ser>
        <c:ser>
          <c:idx val="1"/>
          <c:order val="2"/>
          <c:tx>
            <c:strRef>
              <c:f>Worksheet!$Q$4</c:f>
              <c:strCache>
                <c:ptCount val="1"/>
                <c:pt idx="0">
                  <c:v>Pessimistic</c:v>
                </c:pt>
              </c:strCache>
            </c:strRef>
          </c:tx>
          <c:spPr>
            <a:ln w="38100">
              <a:solidFill>
                <a:srgbClr val="FF0000"/>
              </a:solidFill>
              <a:prstDash val="solid"/>
            </a:ln>
          </c:spPr>
          <c:marker>
            <c:symbol val="triangle"/>
            <c:size val="10"/>
            <c:spPr>
              <a:solidFill>
                <a:srgbClr val="FF0000"/>
              </a:solidFill>
              <a:ln>
                <a:solidFill>
                  <a:srgbClr val="FF0000"/>
                </a:solidFill>
                <a:prstDash val="solid"/>
              </a:ln>
            </c:spPr>
          </c:marker>
          <c:cat>
            <c:strRef>
              <c:f>Worksheet!$C$4:$F$4</c:f>
              <c:strCache>
                <c:ptCount val="4"/>
                <c:pt idx="0">
                  <c:v>Current Year</c:v>
                </c:pt>
                <c:pt idx="1">
                  <c:v>Year 1</c:v>
                </c:pt>
                <c:pt idx="2">
                  <c:v>Year 2</c:v>
                </c:pt>
                <c:pt idx="3">
                  <c:v>Year 3</c:v>
                </c:pt>
              </c:strCache>
            </c:strRef>
          </c:cat>
          <c:val>
            <c:numRef>
              <c:f>Worksheet!$R$5:$U$5</c:f>
              <c:numCache>
                <c:formatCode>#,##0</c:formatCode>
                <c:ptCount val="4"/>
                <c:pt idx="0">
                  <c:v>500000</c:v>
                </c:pt>
                <c:pt idx="1">
                  <c:v>542084.94208494201</c:v>
                </c:pt>
                <c:pt idx="2">
                  <c:v>563768.33976833976</c:v>
                </c:pt>
                <c:pt idx="3">
                  <c:v>591494.65156022529</c:v>
                </c:pt>
              </c:numCache>
            </c:numRef>
          </c:val>
          <c:smooth val="0"/>
          <c:extLst>
            <c:ext xmlns:c16="http://schemas.microsoft.com/office/drawing/2014/chart" uri="{C3380CC4-5D6E-409C-BE32-E72D297353CC}">
              <c16:uniqueId val="{00000002-777C-46A6-A93A-B13E3FC83FAA}"/>
            </c:ext>
          </c:extLst>
        </c:ser>
        <c:dLbls>
          <c:showLegendKey val="0"/>
          <c:showVal val="0"/>
          <c:showCatName val="0"/>
          <c:showSerName val="0"/>
          <c:showPercent val="0"/>
          <c:showBubbleSize val="0"/>
        </c:dLbls>
        <c:marker val="1"/>
        <c:smooth val="0"/>
        <c:axId val="82671488"/>
        <c:axId val="82686720"/>
      </c:lineChart>
      <c:catAx>
        <c:axId val="82671488"/>
        <c:scaling>
          <c:orientation val="minMax"/>
        </c:scaling>
        <c:delete val="0"/>
        <c:axPos val="b"/>
        <c:title>
          <c:tx>
            <c:rich>
              <a:bodyPr/>
              <a:lstStyle/>
              <a:p>
                <a:pPr>
                  <a:defRPr sz="1600" b="1" i="0" u="none" strike="noStrike" baseline="0">
                    <a:solidFill>
                      <a:srgbClr val="000000"/>
                    </a:solidFill>
                    <a:latin typeface="Arial"/>
                    <a:ea typeface="Arial"/>
                    <a:cs typeface="Arial"/>
                  </a:defRPr>
                </a:pPr>
                <a:r>
                  <a:rPr lang="en-AU"/>
                  <a:t>Year</a:t>
                </a:r>
              </a:p>
            </c:rich>
          </c:tx>
          <c:layout>
            <c:manualLayout>
              <c:xMode val="edge"/>
              <c:yMode val="edge"/>
              <c:x val="0.52947259565666749"/>
              <c:y val="0.8932203389830508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5400000" vert="horz"/>
          <a:lstStyle/>
          <a:p>
            <a:pPr>
              <a:defRPr sz="900" b="0" i="0" u="none" strike="noStrike" baseline="0">
                <a:solidFill>
                  <a:srgbClr val="000000"/>
                </a:solidFill>
                <a:latin typeface="Arial"/>
                <a:ea typeface="Arial"/>
                <a:cs typeface="Arial"/>
              </a:defRPr>
            </a:pPr>
            <a:endParaRPr lang="en-US"/>
          </a:p>
        </c:txPr>
        <c:crossAx val="82686720"/>
        <c:crosses val="autoZero"/>
        <c:auto val="1"/>
        <c:lblAlgn val="ctr"/>
        <c:lblOffset val="100"/>
        <c:tickMarkSkip val="1"/>
        <c:noMultiLvlLbl val="0"/>
      </c:catAx>
      <c:valAx>
        <c:axId val="82686720"/>
        <c:scaling>
          <c:orientation val="minMax"/>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AU"/>
                  <a:t>Revenue</a:t>
                </a:r>
              </a:p>
            </c:rich>
          </c:tx>
          <c:layout>
            <c:manualLayout>
              <c:xMode val="edge"/>
              <c:yMode val="edge"/>
              <c:x val="0"/>
              <c:y val="0.3796610169491533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82671488"/>
        <c:crosses val="autoZero"/>
        <c:crossBetween val="between"/>
      </c:valAx>
      <c:dTable>
        <c:showHorzBorder val="1"/>
        <c:showVertBorder val="1"/>
        <c:showOutline val="1"/>
        <c:showKeys val="1"/>
        <c:spPr>
          <a:ln w="3175">
            <a:solidFill>
              <a:srgbClr val="000000"/>
            </a:solidFill>
            <a:prstDash val="solid"/>
          </a:ln>
        </c:spPr>
        <c:txPr>
          <a:bodyPr/>
          <a:lstStyle/>
          <a:p>
            <a:pPr rtl="0">
              <a:defRPr sz="1000" b="0" i="0" u="none" strike="noStrike" baseline="0">
                <a:solidFill>
                  <a:srgbClr val="000000"/>
                </a:solidFill>
                <a:latin typeface="Arial"/>
                <a:ea typeface="Arial"/>
                <a:cs typeface="Arial"/>
              </a:defRPr>
            </a:pPr>
            <a:endParaRPr lang="en-US"/>
          </a:p>
        </c:txPr>
      </c:dTable>
      <c:spPr>
        <a:solidFill>
          <a:srgbClr val="FFFFFF"/>
        </a:solidFill>
        <a:ln w="12700">
          <a:solidFill>
            <a:srgbClr val="808080"/>
          </a:solidFill>
          <a:prstDash val="solid"/>
        </a:ln>
      </c:spPr>
    </c:plotArea>
    <c:plotVisOnly val="1"/>
    <c:dispBlanksAs val="gap"/>
    <c:showDLblsOverMax val="0"/>
  </c:chart>
  <c:spPr>
    <a:no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sng" strike="noStrike" baseline="0">
                <a:solidFill>
                  <a:srgbClr val="000000"/>
                </a:solidFill>
                <a:latin typeface="Arial"/>
                <a:ea typeface="Arial"/>
                <a:cs typeface="Arial"/>
              </a:defRPr>
            </a:pPr>
            <a:r>
              <a:rPr lang="en-AU"/>
              <a:t>Forecast Surplus</a:t>
            </a:r>
          </a:p>
        </c:rich>
      </c:tx>
      <c:layout>
        <c:manualLayout>
          <c:xMode val="edge"/>
          <c:yMode val="edge"/>
          <c:x val="0"/>
          <c:y val="1.6949152542372935E-3"/>
        </c:manualLayout>
      </c:layout>
      <c:overlay val="0"/>
      <c:spPr>
        <a:noFill/>
        <a:ln w="25400">
          <a:noFill/>
        </a:ln>
      </c:spPr>
    </c:title>
    <c:autoTitleDeleted val="0"/>
    <c:plotArea>
      <c:layout>
        <c:manualLayout>
          <c:layoutTarget val="inner"/>
          <c:xMode val="edge"/>
          <c:yMode val="edge"/>
          <c:x val="0.13857290589451912"/>
          <c:y val="0.18474576271186507"/>
          <c:w val="0.83350568769390065"/>
          <c:h val="0.5525423728813541"/>
        </c:manualLayout>
      </c:layout>
      <c:lineChart>
        <c:grouping val="standard"/>
        <c:varyColors val="0"/>
        <c:ser>
          <c:idx val="0"/>
          <c:order val="0"/>
          <c:tx>
            <c:strRef>
              <c:f>Worksheet!$J$4</c:f>
              <c:strCache>
                <c:ptCount val="1"/>
                <c:pt idx="0">
                  <c:v>Optimistic</c:v>
                </c:pt>
              </c:strCache>
            </c:strRef>
          </c:tx>
          <c:spPr>
            <a:ln w="38100">
              <a:solidFill>
                <a:srgbClr val="0000FF"/>
              </a:solidFill>
              <a:prstDash val="solid"/>
            </a:ln>
          </c:spPr>
          <c:marker>
            <c:symbol val="diamond"/>
            <c:size val="10"/>
            <c:spPr>
              <a:solidFill>
                <a:srgbClr val="0000FF"/>
              </a:solidFill>
              <a:ln>
                <a:solidFill>
                  <a:srgbClr val="0000FF"/>
                </a:solidFill>
                <a:prstDash val="solid"/>
              </a:ln>
            </c:spPr>
          </c:marker>
          <c:cat>
            <c:strRef>
              <c:f>Worksheet!$C$4:$F$4</c:f>
              <c:strCache>
                <c:ptCount val="4"/>
                <c:pt idx="0">
                  <c:v>Current Year</c:v>
                </c:pt>
                <c:pt idx="1">
                  <c:v>Year 1</c:v>
                </c:pt>
                <c:pt idx="2">
                  <c:v>Year 2</c:v>
                </c:pt>
                <c:pt idx="3">
                  <c:v>Year 3</c:v>
                </c:pt>
              </c:strCache>
            </c:strRef>
          </c:cat>
          <c:val>
            <c:numRef>
              <c:f>Worksheet!$K$43:$N$43</c:f>
              <c:numCache>
                <c:formatCode>#,##0</c:formatCode>
                <c:ptCount val="4"/>
                <c:pt idx="0">
                  <c:v>60000</c:v>
                </c:pt>
                <c:pt idx="1">
                  <c:v>97031.038851351303</c:v>
                </c:pt>
                <c:pt idx="2">
                  <c:v>122621.1434194204</c:v>
                </c:pt>
                <c:pt idx="3">
                  <c:v>129747.972125498</c:v>
                </c:pt>
              </c:numCache>
            </c:numRef>
          </c:val>
          <c:smooth val="0"/>
          <c:extLst>
            <c:ext xmlns:c16="http://schemas.microsoft.com/office/drawing/2014/chart" uri="{C3380CC4-5D6E-409C-BE32-E72D297353CC}">
              <c16:uniqueId val="{00000000-0D88-40A8-8750-CEC287D31B2E}"/>
            </c:ext>
          </c:extLst>
        </c:ser>
        <c:ser>
          <c:idx val="4"/>
          <c:order val="1"/>
          <c:tx>
            <c:strRef>
              <c:f>Worksheet!$B$4</c:f>
              <c:strCache>
                <c:ptCount val="1"/>
                <c:pt idx="0">
                  <c:v>Expected</c:v>
                </c:pt>
              </c:strCache>
            </c:strRef>
          </c:tx>
          <c:spPr>
            <a:ln w="38100">
              <a:solidFill>
                <a:srgbClr val="00FF00"/>
              </a:solidFill>
              <a:prstDash val="solid"/>
            </a:ln>
          </c:spPr>
          <c:marker>
            <c:symbol val="square"/>
            <c:size val="10"/>
            <c:spPr>
              <a:solidFill>
                <a:srgbClr val="00FF00"/>
              </a:solidFill>
              <a:ln>
                <a:solidFill>
                  <a:srgbClr val="00FF00"/>
                </a:solidFill>
                <a:prstDash val="solid"/>
              </a:ln>
            </c:spPr>
          </c:marker>
          <c:cat>
            <c:strRef>
              <c:f>Worksheet!$C$4:$F$4</c:f>
              <c:strCache>
                <c:ptCount val="4"/>
                <c:pt idx="0">
                  <c:v>Current Year</c:v>
                </c:pt>
                <c:pt idx="1">
                  <c:v>Year 1</c:v>
                </c:pt>
                <c:pt idx="2">
                  <c:v>Year 2</c:v>
                </c:pt>
                <c:pt idx="3">
                  <c:v>Year 3</c:v>
                </c:pt>
              </c:strCache>
            </c:strRef>
          </c:cat>
          <c:val>
            <c:numRef>
              <c:f>Worksheet!$C$43:$F$43</c:f>
              <c:numCache>
                <c:formatCode>#,##0</c:formatCode>
                <c:ptCount val="4"/>
                <c:pt idx="0">
                  <c:v>60000</c:v>
                </c:pt>
                <c:pt idx="1">
                  <c:v>88694.622490338515</c:v>
                </c:pt>
                <c:pt idx="2">
                  <c:v>106169.59067772643</c:v>
                </c:pt>
                <c:pt idx="3">
                  <c:v>105371.87455054082</c:v>
                </c:pt>
              </c:numCache>
            </c:numRef>
          </c:val>
          <c:smooth val="0"/>
          <c:extLst>
            <c:ext xmlns:c16="http://schemas.microsoft.com/office/drawing/2014/chart" uri="{C3380CC4-5D6E-409C-BE32-E72D297353CC}">
              <c16:uniqueId val="{00000001-0D88-40A8-8750-CEC287D31B2E}"/>
            </c:ext>
          </c:extLst>
        </c:ser>
        <c:ser>
          <c:idx val="1"/>
          <c:order val="2"/>
          <c:tx>
            <c:strRef>
              <c:f>Worksheet!$Q$4</c:f>
              <c:strCache>
                <c:ptCount val="1"/>
                <c:pt idx="0">
                  <c:v>Pessimistic</c:v>
                </c:pt>
              </c:strCache>
            </c:strRef>
          </c:tx>
          <c:spPr>
            <a:ln w="38100">
              <a:solidFill>
                <a:srgbClr val="FF0000"/>
              </a:solidFill>
              <a:prstDash val="solid"/>
            </a:ln>
          </c:spPr>
          <c:marker>
            <c:symbol val="triangle"/>
            <c:size val="10"/>
            <c:spPr>
              <a:solidFill>
                <a:srgbClr val="FF0000"/>
              </a:solidFill>
              <a:ln>
                <a:solidFill>
                  <a:srgbClr val="FF0000"/>
                </a:solidFill>
                <a:prstDash val="solid"/>
              </a:ln>
            </c:spPr>
          </c:marker>
          <c:cat>
            <c:strRef>
              <c:f>Worksheet!$C$4:$F$4</c:f>
              <c:strCache>
                <c:ptCount val="4"/>
                <c:pt idx="0">
                  <c:v>Current Year</c:v>
                </c:pt>
                <c:pt idx="1">
                  <c:v>Year 1</c:v>
                </c:pt>
                <c:pt idx="2">
                  <c:v>Year 2</c:v>
                </c:pt>
                <c:pt idx="3">
                  <c:v>Year 3</c:v>
                </c:pt>
              </c:strCache>
            </c:strRef>
          </c:cat>
          <c:val>
            <c:numRef>
              <c:f>Worksheet!$R$43:$U$43</c:f>
              <c:numCache>
                <c:formatCode>#,##0</c:formatCode>
                <c:ptCount val="4"/>
                <c:pt idx="0">
                  <c:v>60000</c:v>
                </c:pt>
                <c:pt idx="1">
                  <c:v>80604.54874517367</c:v>
                </c:pt>
                <c:pt idx="2">
                  <c:v>90428.211639824556</c:v>
                </c:pt>
                <c:pt idx="3">
                  <c:v>82385.728313678061</c:v>
                </c:pt>
              </c:numCache>
            </c:numRef>
          </c:val>
          <c:smooth val="0"/>
          <c:extLst>
            <c:ext xmlns:c16="http://schemas.microsoft.com/office/drawing/2014/chart" uri="{C3380CC4-5D6E-409C-BE32-E72D297353CC}">
              <c16:uniqueId val="{00000002-0D88-40A8-8750-CEC287D31B2E}"/>
            </c:ext>
          </c:extLst>
        </c:ser>
        <c:dLbls>
          <c:showLegendKey val="0"/>
          <c:showVal val="0"/>
          <c:showCatName val="0"/>
          <c:showSerName val="0"/>
          <c:showPercent val="0"/>
          <c:showBubbleSize val="0"/>
        </c:dLbls>
        <c:marker val="1"/>
        <c:smooth val="0"/>
        <c:axId val="82309120"/>
        <c:axId val="82311424"/>
      </c:lineChart>
      <c:catAx>
        <c:axId val="82309120"/>
        <c:scaling>
          <c:orientation val="minMax"/>
        </c:scaling>
        <c:delete val="0"/>
        <c:axPos val="b"/>
        <c:title>
          <c:tx>
            <c:rich>
              <a:bodyPr/>
              <a:lstStyle/>
              <a:p>
                <a:pPr>
                  <a:defRPr sz="1600" b="1" i="0" u="none" strike="noStrike" baseline="0">
                    <a:solidFill>
                      <a:srgbClr val="000000"/>
                    </a:solidFill>
                    <a:latin typeface="Arial"/>
                    <a:ea typeface="Arial"/>
                    <a:cs typeface="Arial"/>
                  </a:defRPr>
                </a:pPr>
                <a:r>
                  <a:rPr lang="en-AU"/>
                  <a:t>Year</a:t>
                </a:r>
              </a:p>
            </c:rich>
          </c:tx>
          <c:layout>
            <c:manualLayout>
              <c:xMode val="edge"/>
              <c:yMode val="edge"/>
              <c:x val="0.52947259565666749"/>
              <c:y val="0.8932203389830508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5400000" vert="horz"/>
          <a:lstStyle/>
          <a:p>
            <a:pPr>
              <a:defRPr sz="900" b="0" i="0" u="none" strike="noStrike" baseline="0">
                <a:solidFill>
                  <a:srgbClr val="000000"/>
                </a:solidFill>
                <a:latin typeface="Arial"/>
                <a:ea typeface="Arial"/>
                <a:cs typeface="Arial"/>
              </a:defRPr>
            </a:pPr>
            <a:endParaRPr lang="en-US"/>
          </a:p>
        </c:txPr>
        <c:crossAx val="82311424"/>
        <c:crosses val="autoZero"/>
        <c:auto val="1"/>
        <c:lblAlgn val="ctr"/>
        <c:lblOffset val="100"/>
        <c:tickMarkSkip val="1"/>
        <c:noMultiLvlLbl val="0"/>
      </c:catAx>
      <c:valAx>
        <c:axId val="82311424"/>
        <c:scaling>
          <c:orientation val="minMax"/>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AU"/>
                  <a:t>Revenue</a:t>
                </a:r>
              </a:p>
            </c:rich>
          </c:tx>
          <c:layout>
            <c:manualLayout>
              <c:xMode val="edge"/>
              <c:yMode val="edge"/>
              <c:x val="0"/>
              <c:y val="0.3796610169491533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82309120"/>
        <c:crosses val="autoZero"/>
        <c:crossBetween val="between"/>
      </c:valAx>
      <c:dTable>
        <c:showHorzBorder val="1"/>
        <c:showVertBorder val="1"/>
        <c:showOutline val="1"/>
        <c:showKeys val="1"/>
        <c:spPr>
          <a:ln w="3175">
            <a:solidFill>
              <a:srgbClr val="000000"/>
            </a:solidFill>
            <a:prstDash val="solid"/>
          </a:ln>
        </c:spPr>
        <c:txPr>
          <a:bodyPr/>
          <a:lstStyle/>
          <a:p>
            <a:pPr rtl="0">
              <a:defRPr sz="1000" b="0" i="0" u="none" strike="noStrike" baseline="0">
                <a:solidFill>
                  <a:srgbClr val="000000"/>
                </a:solidFill>
                <a:latin typeface="Arial"/>
                <a:ea typeface="Arial"/>
                <a:cs typeface="Arial"/>
              </a:defRPr>
            </a:pPr>
            <a:endParaRPr lang="en-US"/>
          </a:p>
        </c:txPr>
      </c:dTable>
      <c:spPr>
        <a:solidFill>
          <a:srgbClr val="FFFFFF"/>
        </a:solidFill>
        <a:ln w="12700">
          <a:solidFill>
            <a:srgbClr val="808080"/>
          </a:solidFill>
          <a:prstDash val="solid"/>
        </a:ln>
      </c:spPr>
    </c:plotArea>
    <c:plotVisOnly val="1"/>
    <c:dispBlanksAs val="gap"/>
    <c:showDLblsOverMax val="0"/>
  </c:chart>
  <c:spPr>
    <a:no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sng" strike="noStrike" baseline="0">
                <a:solidFill>
                  <a:srgbClr val="000000"/>
                </a:solidFill>
                <a:latin typeface="Arial"/>
                <a:ea typeface="Arial"/>
                <a:cs typeface="Arial"/>
              </a:defRPr>
            </a:pPr>
            <a:r>
              <a:rPr lang="en-AU"/>
              <a:t>Forecast Return</a:t>
            </a:r>
          </a:p>
        </c:rich>
      </c:tx>
      <c:layout>
        <c:manualLayout>
          <c:xMode val="edge"/>
          <c:yMode val="edge"/>
          <c:x val="0"/>
          <c:y val="1.6949152542372935E-3"/>
        </c:manualLayout>
      </c:layout>
      <c:overlay val="0"/>
      <c:spPr>
        <a:noFill/>
        <a:ln w="25400">
          <a:noFill/>
        </a:ln>
      </c:spPr>
    </c:title>
    <c:autoTitleDeleted val="0"/>
    <c:plotArea>
      <c:layout>
        <c:manualLayout>
          <c:layoutTarget val="inner"/>
          <c:xMode val="edge"/>
          <c:yMode val="edge"/>
          <c:x val="0.14477766287487073"/>
          <c:y val="0.15932203389830579"/>
          <c:w val="0.83557394002068253"/>
          <c:h val="0.57796610169491458"/>
        </c:manualLayout>
      </c:layout>
      <c:lineChart>
        <c:grouping val="standard"/>
        <c:varyColors val="0"/>
        <c:ser>
          <c:idx val="2"/>
          <c:order val="0"/>
          <c:tx>
            <c:strRef>
              <c:f>Worksheet!$B$4</c:f>
              <c:strCache>
                <c:ptCount val="1"/>
                <c:pt idx="0">
                  <c:v>Expected</c:v>
                </c:pt>
              </c:strCache>
            </c:strRef>
          </c:tx>
          <c:spPr>
            <a:ln w="38100">
              <a:solidFill>
                <a:srgbClr val="00FF00"/>
              </a:solidFill>
              <a:prstDash val="solid"/>
            </a:ln>
          </c:spPr>
          <c:marker>
            <c:symbol val="square"/>
            <c:size val="10"/>
            <c:spPr>
              <a:solidFill>
                <a:srgbClr val="00FF00"/>
              </a:solidFill>
              <a:ln>
                <a:solidFill>
                  <a:srgbClr val="00FF00"/>
                </a:solidFill>
                <a:prstDash val="solid"/>
              </a:ln>
            </c:spPr>
          </c:marker>
          <c:cat>
            <c:strRef>
              <c:f>Worksheet!$C$4:$F$4</c:f>
              <c:strCache>
                <c:ptCount val="4"/>
                <c:pt idx="0">
                  <c:v>Current Year</c:v>
                </c:pt>
                <c:pt idx="1">
                  <c:v>Year 1</c:v>
                </c:pt>
                <c:pt idx="2">
                  <c:v>Year 2</c:v>
                </c:pt>
                <c:pt idx="3">
                  <c:v>Year 3</c:v>
                </c:pt>
              </c:strCache>
            </c:strRef>
          </c:cat>
          <c:val>
            <c:numRef>
              <c:f>Worksheet!$C$90:$F$90</c:f>
              <c:numCache>
                <c:formatCode>#,##0</c:formatCode>
                <c:ptCount val="4"/>
                <c:pt idx="0">
                  <c:v>47500</c:v>
                </c:pt>
                <c:pt idx="1">
                  <c:v>75815.374917522975</c:v>
                </c:pt>
                <c:pt idx="2">
                  <c:v>93115.130726270116</c:v>
                </c:pt>
                <c:pt idx="3">
                  <c:v>92089.819138169682</c:v>
                </c:pt>
              </c:numCache>
            </c:numRef>
          </c:val>
          <c:smooth val="0"/>
          <c:extLst>
            <c:ext xmlns:c16="http://schemas.microsoft.com/office/drawing/2014/chart" uri="{C3380CC4-5D6E-409C-BE32-E72D297353CC}">
              <c16:uniqueId val="{00000000-1420-4631-ABA3-55D63C2BBF10}"/>
            </c:ext>
          </c:extLst>
        </c:ser>
        <c:ser>
          <c:idx val="3"/>
          <c:order val="1"/>
          <c:tx>
            <c:strRef>
              <c:f>Worksheet!$J$4</c:f>
              <c:strCache>
                <c:ptCount val="1"/>
                <c:pt idx="0">
                  <c:v>Optimistic</c:v>
                </c:pt>
              </c:strCache>
            </c:strRef>
          </c:tx>
          <c:spPr>
            <a:ln w="38100">
              <a:solidFill>
                <a:srgbClr val="0000FF"/>
              </a:solidFill>
              <a:prstDash val="solid"/>
            </a:ln>
          </c:spPr>
          <c:marker>
            <c:symbol val="diamond"/>
            <c:size val="10"/>
            <c:spPr>
              <a:solidFill>
                <a:srgbClr val="0000FF"/>
              </a:solidFill>
              <a:ln>
                <a:solidFill>
                  <a:srgbClr val="0000FF"/>
                </a:solidFill>
                <a:prstDash val="solid"/>
              </a:ln>
            </c:spPr>
          </c:marker>
          <c:cat>
            <c:strRef>
              <c:f>Worksheet!$C$4:$F$4</c:f>
              <c:strCache>
                <c:ptCount val="4"/>
                <c:pt idx="0">
                  <c:v>Current Year</c:v>
                </c:pt>
                <c:pt idx="1">
                  <c:v>Year 1</c:v>
                </c:pt>
                <c:pt idx="2">
                  <c:v>Year 2</c:v>
                </c:pt>
                <c:pt idx="3">
                  <c:v>Year 3</c:v>
                </c:pt>
              </c:strCache>
            </c:strRef>
          </c:cat>
          <c:val>
            <c:numRef>
              <c:f>Worksheet!$K$90:$N$90</c:f>
              <c:numCache>
                <c:formatCode>#,##0</c:formatCode>
                <c:ptCount val="4"/>
                <c:pt idx="0">
                  <c:v>47500</c:v>
                </c:pt>
                <c:pt idx="1">
                  <c:v>84032.991976351303</c:v>
                </c:pt>
                <c:pt idx="2">
                  <c:v>109405.7137319204</c:v>
                </c:pt>
                <c:pt idx="3">
                  <c:v>116245.70536590256</c:v>
                </c:pt>
              </c:numCache>
            </c:numRef>
          </c:val>
          <c:smooth val="0"/>
          <c:extLst>
            <c:ext xmlns:c16="http://schemas.microsoft.com/office/drawing/2014/chart" uri="{C3380CC4-5D6E-409C-BE32-E72D297353CC}">
              <c16:uniqueId val="{00000001-1420-4631-ABA3-55D63C2BBF10}"/>
            </c:ext>
          </c:extLst>
        </c:ser>
        <c:ser>
          <c:idx val="5"/>
          <c:order val="2"/>
          <c:tx>
            <c:strRef>
              <c:f>Worksheet!$Q$4</c:f>
              <c:strCache>
                <c:ptCount val="1"/>
                <c:pt idx="0">
                  <c:v>Pessimistic</c:v>
                </c:pt>
              </c:strCache>
            </c:strRef>
          </c:tx>
          <c:spPr>
            <a:ln w="38100">
              <a:solidFill>
                <a:srgbClr val="FF0000"/>
              </a:solidFill>
              <a:prstDash val="solid"/>
            </a:ln>
          </c:spPr>
          <c:marker>
            <c:symbol val="triangle"/>
            <c:size val="10"/>
            <c:spPr>
              <a:solidFill>
                <a:srgbClr val="FF0000"/>
              </a:solidFill>
              <a:ln>
                <a:solidFill>
                  <a:srgbClr val="FF0000"/>
                </a:solidFill>
                <a:prstDash val="solid"/>
              </a:ln>
            </c:spPr>
          </c:marker>
          <c:cat>
            <c:strRef>
              <c:f>Worksheet!$C$4:$F$4</c:f>
              <c:strCache>
                <c:ptCount val="4"/>
                <c:pt idx="0">
                  <c:v>Current Year</c:v>
                </c:pt>
                <c:pt idx="1">
                  <c:v>Year 1</c:v>
                </c:pt>
                <c:pt idx="2">
                  <c:v>Year 2</c:v>
                </c:pt>
                <c:pt idx="3">
                  <c:v>Year 3</c:v>
                </c:pt>
              </c:strCache>
            </c:strRef>
          </c:cat>
          <c:val>
            <c:numRef>
              <c:f>Worksheet!$R$90:$U$90</c:f>
              <c:numCache>
                <c:formatCode>#,##0</c:formatCode>
                <c:ptCount val="4"/>
                <c:pt idx="0">
                  <c:v>47500</c:v>
                </c:pt>
                <c:pt idx="1">
                  <c:v>67841.517857142782</c:v>
                </c:pt>
                <c:pt idx="2">
                  <c:v>77529.659516272426</c:v>
                </c:pt>
                <c:pt idx="3">
                  <c:v>69313.886741426657</c:v>
                </c:pt>
              </c:numCache>
            </c:numRef>
          </c:val>
          <c:smooth val="0"/>
          <c:extLst>
            <c:ext xmlns:c16="http://schemas.microsoft.com/office/drawing/2014/chart" uri="{C3380CC4-5D6E-409C-BE32-E72D297353CC}">
              <c16:uniqueId val="{00000002-1420-4631-ABA3-55D63C2BBF10}"/>
            </c:ext>
          </c:extLst>
        </c:ser>
        <c:dLbls>
          <c:showLegendKey val="0"/>
          <c:showVal val="0"/>
          <c:showCatName val="0"/>
          <c:showSerName val="0"/>
          <c:showPercent val="0"/>
          <c:showBubbleSize val="0"/>
        </c:dLbls>
        <c:marker val="1"/>
        <c:smooth val="0"/>
        <c:axId val="92382336"/>
        <c:axId val="92384640"/>
      </c:lineChart>
      <c:catAx>
        <c:axId val="92382336"/>
        <c:scaling>
          <c:orientation val="minMax"/>
        </c:scaling>
        <c:delete val="0"/>
        <c:axPos val="b"/>
        <c:title>
          <c:tx>
            <c:rich>
              <a:bodyPr/>
              <a:lstStyle/>
              <a:p>
                <a:pPr>
                  <a:defRPr sz="1475" b="1" i="0" u="none" strike="noStrike" baseline="0">
                    <a:solidFill>
                      <a:srgbClr val="000000"/>
                    </a:solidFill>
                    <a:latin typeface="Arial"/>
                    <a:ea typeface="Arial"/>
                    <a:cs typeface="Arial"/>
                  </a:defRPr>
                </a:pPr>
                <a:r>
                  <a:rPr lang="en-AU"/>
                  <a:t>Year</a:t>
                </a:r>
              </a:p>
            </c:rich>
          </c:tx>
          <c:layout>
            <c:manualLayout>
              <c:xMode val="edge"/>
              <c:yMode val="edge"/>
              <c:x val="0.53774560496380874"/>
              <c:y val="0.8932203389830508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5400000" vert="horz"/>
          <a:lstStyle/>
          <a:p>
            <a:pPr>
              <a:defRPr sz="900" b="0" i="0" u="none" strike="noStrike" baseline="0">
                <a:solidFill>
                  <a:srgbClr val="000000"/>
                </a:solidFill>
                <a:latin typeface="Arial"/>
                <a:ea typeface="Arial"/>
                <a:cs typeface="Arial"/>
              </a:defRPr>
            </a:pPr>
            <a:endParaRPr lang="en-US"/>
          </a:p>
        </c:txPr>
        <c:crossAx val="92384640"/>
        <c:crosses val="autoZero"/>
        <c:auto val="1"/>
        <c:lblAlgn val="ctr"/>
        <c:lblOffset val="100"/>
        <c:tickMarkSkip val="1"/>
        <c:noMultiLvlLbl val="0"/>
      </c:catAx>
      <c:valAx>
        <c:axId val="92384640"/>
        <c:scaling>
          <c:orientation val="minMax"/>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AU"/>
                  <a:t>Return</a:t>
                </a:r>
              </a:p>
            </c:rich>
          </c:tx>
          <c:layout>
            <c:manualLayout>
              <c:xMode val="edge"/>
              <c:yMode val="edge"/>
              <c:x val="0"/>
              <c:y val="0.3847457627118652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92382336"/>
        <c:crosses val="autoZero"/>
        <c:crossBetween val="between"/>
      </c:valAx>
      <c:dTable>
        <c:showHorzBorder val="1"/>
        <c:showVertBorder val="1"/>
        <c:showOutline val="1"/>
        <c:showKeys val="1"/>
        <c:spPr>
          <a:ln w="3175">
            <a:solidFill>
              <a:srgbClr val="000000"/>
            </a:solidFill>
            <a:prstDash val="solid"/>
          </a:ln>
        </c:spPr>
        <c:txPr>
          <a:bodyPr/>
          <a:lstStyle/>
          <a:p>
            <a:pPr rtl="0">
              <a:defRPr sz="1000" b="0" i="0" u="none" strike="noStrike" baseline="0">
                <a:solidFill>
                  <a:srgbClr val="000000"/>
                </a:solidFill>
                <a:latin typeface="Arial"/>
                <a:ea typeface="Arial"/>
                <a:cs typeface="Arial"/>
              </a:defRPr>
            </a:pPr>
            <a:endParaRPr lang="en-US"/>
          </a:p>
        </c:txPr>
      </c:dTable>
      <c:spPr>
        <a:solidFill>
          <a:srgbClr val="FFFFFF"/>
        </a:solidFill>
        <a:ln w="12700">
          <a:solidFill>
            <a:srgbClr val="808080"/>
          </a:solidFill>
          <a:prstDash val="solid"/>
        </a:ln>
      </c:spPr>
    </c:plotArea>
    <c:plotVisOnly val="1"/>
    <c:dispBlanksAs val="gap"/>
    <c:showDLblsOverMax val="0"/>
  </c:chart>
  <c:spPr>
    <a:no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sng" strike="noStrike" baseline="0">
                <a:solidFill>
                  <a:srgbClr val="000000"/>
                </a:solidFill>
                <a:latin typeface="Arial"/>
                <a:ea typeface="Arial"/>
                <a:cs typeface="Arial"/>
              </a:defRPr>
            </a:pPr>
            <a:r>
              <a:rPr lang="en-AU"/>
              <a:t>Operating Surplus Expected</a:t>
            </a:r>
          </a:p>
        </c:rich>
      </c:tx>
      <c:layout>
        <c:manualLayout>
          <c:xMode val="edge"/>
          <c:yMode val="edge"/>
          <c:x val="0"/>
          <c:y val="1.6949152542372935E-3"/>
        </c:manualLayout>
      </c:layout>
      <c:overlay val="0"/>
      <c:spPr>
        <a:noFill/>
        <a:ln w="25400">
          <a:noFill/>
        </a:ln>
      </c:spPr>
    </c:title>
    <c:autoTitleDeleted val="0"/>
    <c:plotArea>
      <c:layout>
        <c:manualLayout>
          <c:layoutTarget val="inner"/>
          <c:xMode val="edge"/>
          <c:yMode val="edge"/>
          <c:x val="0.14167528438469493"/>
          <c:y val="0.15932203389830579"/>
          <c:w val="0.83764219234746662"/>
          <c:h val="0.57796610169491458"/>
        </c:manualLayout>
      </c:layout>
      <c:areaChart>
        <c:grouping val="stacked"/>
        <c:varyColors val="0"/>
        <c:ser>
          <c:idx val="2"/>
          <c:order val="0"/>
          <c:tx>
            <c:v>Fixed Costs</c:v>
          </c:tx>
          <c:spPr>
            <a:solidFill>
              <a:srgbClr val="FF0000"/>
            </a:solidFill>
            <a:ln w="12700">
              <a:solidFill>
                <a:srgbClr val="FF0000"/>
              </a:solidFill>
              <a:prstDash val="solid"/>
            </a:ln>
          </c:spPr>
          <c:cat>
            <c:strRef>
              <c:f>Worksheet!$C$4:$F$4</c:f>
              <c:strCache>
                <c:ptCount val="4"/>
                <c:pt idx="0">
                  <c:v>Current Year</c:v>
                </c:pt>
                <c:pt idx="1">
                  <c:v>Year 1</c:v>
                </c:pt>
                <c:pt idx="2">
                  <c:v>Year 2</c:v>
                </c:pt>
                <c:pt idx="3">
                  <c:v>Year 3</c:v>
                </c:pt>
              </c:strCache>
            </c:strRef>
          </c:cat>
          <c:val>
            <c:numRef>
              <c:f>Worksheet!$C$38:$F$38</c:f>
              <c:numCache>
                <c:formatCode>#,##0</c:formatCode>
                <c:ptCount val="4"/>
                <c:pt idx="0">
                  <c:v>130000</c:v>
                </c:pt>
                <c:pt idx="1">
                  <c:v>133944.17475728155</c:v>
                </c:pt>
                <c:pt idx="2">
                  <c:v>135766.38349514565</c:v>
                </c:pt>
                <c:pt idx="3">
                  <c:v>136645.19080828209</c:v>
                </c:pt>
              </c:numCache>
            </c:numRef>
          </c:val>
          <c:extLst>
            <c:ext xmlns:c16="http://schemas.microsoft.com/office/drawing/2014/chart" uri="{C3380CC4-5D6E-409C-BE32-E72D297353CC}">
              <c16:uniqueId val="{00000000-B27D-4799-88DA-89E25A0F2C5A}"/>
            </c:ext>
          </c:extLst>
        </c:ser>
        <c:ser>
          <c:idx val="1"/>
          <c:order val="1"/>
          <c:tx>
            <c:v>Variable Costs</c:v>
          </c:tx>
          <c:spPr>
            <a:solidFill>
              <a:srgbClr val="0000FF"/>
            </a:solidFill>
            <a:ln w="12700">
              <a:solidFill>
                <a:srgbClr val="0000FF"/>
              </a:solidFill>
              <a:prstDash val="solid"/>
            </a:ln>
          </c:spPr>
          <c:cat>
            <c:strRef>
              <c:f>Worksheet!$C$4:$F$4</c:f>
              <c:strCache>
                <c:ptCount val="4"/>
                <c:pt idx="0">
                  <c:v>Current Year</c:v>
                </c:pt>
                <c:pt idx="1">
                  <c:v>Year 1</c:v>
                </c:pt>
                <c:pt idx="2">
                  <c:v>Year 2</c:v>
                </c:pt>
                <c:pt idx="3">
                  <c:v>Year 3</c:v>
                </c:pt>
              </c:strCache>
            </c:strRef>
          </c:cat>
          <c:val>
            <c:numRef>
              <c:f>Worksheet!$C$20:$F$20</c:f>
              <c:numCache>
                <c:formatCode>#,##0</c:formatCode>
                <c:ptCount val="4"/>
                <c:pt idx="0">
                  <c:v>310000</c:v>
                </c:pt>
                <c:pt idx="1">
                  <c:v>338040.81440286536</c:v>
                </c:pt>
                <c:pt idx="2">
                  <c:v>346777.61806013767</c:v>
                </c:pt>
                <c:pt idx="3">
                  <c:v>383111.80062055867</c:v>
                </c:pt>
              </c:numCache>
            </c:numRef>
          </c:val>
          <c:extLst>
            <c:ext xmlns:c16="http://schemas.microsoft.com/office/drawing/2014/chart" uri="{C3380CC4-5D6E-409C-BE32-E72D297353CC}">
              <c16:uniqueId val="{00000001-B27D-4799-88DA-89E25A0F2C5A}"/>
            </c:ext>
          </c:extLst>
        </c:ser>
        <c:ser>
          <c:idx val="0"/>
          <c:order val="2"/>
          <c:tx>
            <c:v>Suplus</c:v>
          </c:tx>
          <c:spPr>
            <a:solidFill>
              <a:srgbClr val="00FF00"/>
            </a:solidFill>
            <a:ln w="12700">
              <a:solidFill>
                <a:srgbClr val="00FF00"/>
              </a:solidFill>
              <a:prstDash val="solid"/>
            </a:ln>
          </c:spPr>
          <c:cat>
            <c:strRef>
              <c:f>Worksheet!$C$4:$F$4</c:f>
              <c:strCache>
                <c:ptCount val="4"/>
                <c:pt idx="0">
                  <c:v>Current Year</c:v>
                </c:pt>
                <c:pt idx="1">
                  <c:v>Year 1</c:v>
                </c:pt>
                <c:pt idx="2">
                  <c:v>Year 2</c:v>
                </c:pt>
                <c:pt idx="3">
                  <c:v>Year 3</c:v>
                </c:pt>
              </c:strCache>
            </c:strRef>
          </c:cat>
          <c:val>
            <c:numRef>
              <c:f>Worksheet!$C$43:$F$43</c:f>
              <c:numCache>
                <c:formatCode>#,##0</c:formatCode>
                <c:ptCount val="4"/>
                <c:pt idx="0">
                  <c:v>60000</c:v>
                </c:pt>
                <c:pt idx="1">
                  <c:v>88694.622490338515</c:v>
                </c:pt>
                <c:pt idx="2">
                  <c:v>106169.59067772643</c:v>
                </c:pt>
                <c:pt idx="3">
                  <c:v>105371.87455054082</c:v>
                </c:pt>
              </c:numCache>
            </c:numRef>
          </c:val>
          <c:extLst>
            <c:ext xmlns:c16="http://schemas.microsoft.com/office/drawing/2014/chart" uri="{C3380CC4-5D6E-409C-BE32-E72D297353CC}">
              <c16:uniqueId val="{00000002-B27D-4799-88DA-89E25A0F2C5A}"/>
            </c:ext>
          </c:extLst>
        </c:ser>
        <c:dLbls>
          <c:showLegendKey val="0"/>
          <c:showVal val="0"/>
          <c:showCatName val="0"/>
          <c:showSerName val="0"/>
          <c:showPercent val="0"/>
          <c:showBubbleSize val="0"/>
        </c:dLbls>
        <c:axId val="92445312"/>
        <c:axId val="92467968"/>
      </c:areaChart>
      <c:catAx>
        <c:axId val="92445312"/>
        <c:scaling>
          <c:orientation val="minMax"/>
        </c:scaling>
        <c:delete val="0"/>
        <c:axPos val="b"/>
        <c:title>
          <c:tx>
            <c:rich>
              <a:bodyPr/>
              <a:lstStyle/>
              <a:p>
                <a:pPr>
                  <a:defRPr sz="1475" b="1" i="0" u="none" strike="noStrike" baseline="0">
                    <a:solidFill>
                      <a:srgbClr val="000000"/>
                    </a:solidFill>
                    <a:latin typeface="Arial"/>
                    <a:ea typeface="Arial"/>
                    <a:cs typeface="Arial"/>
                  </a:defRPr>
                </a:pPr>
                <a:r>
                  <a:rPr lang="en-AU"/>
                  <a:t>Year</a:t>
                </a:r>
              </a:p>
            </c:rich>
          </c:tx>
          <c:layout>
            <c:manualLayout>
              <c:xMode val="edge"/>
              <c:yMode val="edge"/>
              <c:x val="0.53567735263702265"/>
              <c:y val="0.8932203389830508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5400000" vert="horz"/>
          <a:lstStyle/>
          <a:p>
            <a:pPr>
              <a:defRPr sz="900" b="0" i="0" u="none" strike="noStrike" baseline="0">
                <a:solidFill>
                  <a:srgbClr val="000000"/>
                </a:solidFill>
                <a:latin typeface="Arial"/>
                <a:ea typeface="Arial"/>
                <a:cs typeface="Arial"/>
              </a:defRPr>
            </a:pPr>
            <a:endParaRPr lang="en-US"/>
          </a:p>
        </c:txPr>
        <c:crossAx val="92467968"/>
        <c:crosses val="autoZero"/>
        <c:auto val="1"/>
        <c:lblAlgn val="ctr"/>
        <c:lblOffset val="100"/>
        <c:tickMarkSkip val="1"/>
        <c:noMultiLvlLbl val="0"/>
      </c:catAx>
      <c:valAx>
        <c:axId val="92467968"/>
        <c:scaling>
          <c:orientation val="minMax"/>
        </c:scaling>
        <c:delete val="0"/>
        <c:axPos val="l"/>
        <c:majorGridlines>
          <c:spPr>
            <a:ln w="3175">
              <a:solidFill>
                <a:srgbClr val="000000"/>
              </a:solidFill>
              <a:prstDash val="solid"/>
            </a:ln>
          </c:spPr>
        </c:majorGridlines>
        <c:title>
          <c:tx>
            <c:rich>
              <a:bodyPr/>
              <a:lstStyle/>
              <a:p>
                <a:pPr>
                  <a:defRPr sz="1475" b="1" i="0" u="none" strike="noStrike" baseline="0">
                    <a:solidFill>
                      <a:srgbClr val="000000"/>
                    </a:solidFill>
                    <a:latin typeface="Arial"/>
                    <a:ea typeface="Arial"/>
                    <a:cs typeface="Arial"/>
                  </a:defRPr>
                </a:pPr>
                <a:r>
                  <a:rPr lang="en-AU"/>
                  <a:t>Operating Surplus &amp; Costs</a:t>
                </a:r>
              </a:p>
            </c:rich>
          </c:tx>
          <c:layout>
            <c:manualLayout>
              <c:xMode val="edge"/>
              <c:yMode val="edge"/>
              <c:x val="0"/>
              <c:y val="0.227118644067796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92445312"/>
        <c:crosses val="autoZero"/>
        <c:crossBetween val="midCat"/>
      </c:valAx>
      <c:dTable>
        <c:showHorzBorder val="1"/>
        <c:showVertBorder val="1"/>
        <c:showOutline val="1"/>
        <c:showKeys val="1"/>
        <c:spPr>
          <a:ln w="3175">
            <a:solidFill>
              <a:srgbClr val="000000"/>
            </a:solidFill>
            <a:prstDash val="solid"/>
          </a:ln>
        </c:spPr>
        <c:txPr>
          <a:bodyPr/>
          <a:lstStyle/>
          <a:p>
            <a:pPr rtl="0">
              <a:defRPr sz="1000" b="0" i="0" u="none" strike="noStrike" baseline="0">
                <a:solidFill>
                  <a:srgbClr val="000000"/>
                </a:solidFill>
                <a:latin typeface="Arial"/>
                <a:ea typeface="Arial"/>
                <a:cs typeface="Arial"/>
              </a:defRPr>
            </a:pPr>
            <a:endParaRPr lang="en-US"/>
          </a:p>
        </c:txPr>
      </c:dTable>
      <c:spPr>
        <a:solidFill>
          <a:srgbClr val="FFFFFF"/>
        </a:solidFill>
        <a:ln w="12700">
          <a:solidFill>
            <a:srgbClr val="808080"/>
          </a:solidFill>
          <a:prstDash val="solid"/>
        </a:ln>
      </c:spPr>
    </c:plotArea>
    <c:plotVisOnly val="1"/>
    <c:dispBlanksAs val="zero"/>
    <c:showDLblsOverMax val="0"/>
  </c:chart>
  <c:spPr>
    <a:no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sng" strike="noStrike" baseline="0">
                <a:solidFill>
                  <a:srgbClr val="000000"/>
                </a:solidFill>
                <a:latin typeface="Arial"/>
                <a:ea typeface="Arial"/>
                <a:cs typeface="Arial"/>
              </a:defRPr>
            </a:pPr>
            <a:r>
              <a:rPr lang="en-AU"/>
              <a:t>Budget by Month Master</a:t>
            </a:r>
          </a:p>
        </c:rich>
      </c:tx>
      <c:layout>
        <c:manualLayout>
          <c:xMode val="edge"/>
          <c:yMode val="edge"/>
          <c:x val="0"/>
          <c:y val="1.6949152542372935E-3"/>
        </c:manualLayout>
      </c:layout>
      <c:overlay val="0"/>
      <c:spPr>
        <a:noFill/>
        <a:ln w="25400">
          <a:noFill/>
        </a:ln>
      </c:spPr>
    </c:title>
    <c:autoTitleDeleted val="0"/>
    <c:plotArea>
      <c:layout>
        <c:manualLayout>
          <c:layoutTarget val="inner"/>
          <c:xMode val="edge"/>
          <c:yMode val="edge"/>
          <c:x val="0.1768355739400207"/>
          <c:y val="0.19491525423728867"/>
          <c:w val="0.73526370217166459"/>
          <c:h val="0.483050847457628"/>
        </c:manualLayout>
      </c:layout>
      <c:lineChart>
        <c:grouping val="standard"/>
        <c:varyColors val="0"/>
        <c:ser>
          <c:idx val="0"/>
          <c:order val="0"/>
          <c:tx>
            <c:strRef>
              <c:f>'Budget by Month Master'!$B$12</c:f>
              <c:strCache>
                <c:ptCount val="1"/>
                <c:pt idx="0">
                  <c:v>Total Revenue</c:v>
                </c:pt>
              </c:strCache>
            </c:strRef>
          </c:tx>
          <c:spPr>
            <a:ln w="38100">
              <a:solidFill>
                <a:srgbClr val="0000FF"/>
              </a:solidFill>
              <a:prstDash val="solid"/>
            </a:ln>
          </c:spPr>
          <c:marker>
            <c:symbol val="diamond"/>
            <c:size val="10"/>
            <c:spPr>
              <a:solidFill>
                <a:srgbClr val="0000FF"/>
              </a:solidFill>
              <a:ln>
                <a:solidFill>
                  <a:srgbClr val="0000FF"/>
                </a:solidFill>
                <a:prstDash val="solid"/>
              </a:ln>
            </c:spPr>
          </c:marker>
          <c:cat>
            <c:numRef>
              <c:f>'Budget by Month Master'!$D$6:$O$6</c:f>
              <c:numCache>
                <c:formatCode>mmm\-yy</c:formatCode>
                <c:ptCount val="12"/>
                <c:pt idx="0">
                  <c:v>44743</c:v>
                </c:pt>
                <c:pt idx="1">
                  <c:v>44774</c:v>
                </c:pt>
                <c:pt idx="2">
                  <c:v>44805</c:v>
                </c:pt>
                <c:pt idx="3">
                  <c:v>44836</c:v>
                </c:pt>
                <c:pt idx="4">
                  <c:v>44867</c:v>
                </c:pt>
                <c:pt idx="5">
                  <c:v>44898</c:v>
                </c:pt>
                <c:pt idx="6">
                  <c:v>44929</c:v>
                </c:pt>
                <c:pt idx="7">
                  <c:v>44960</c:v>
                </c:pt>
                <c:pt idx="8">
                  <c:v>44991</c:v>
                </c:pt>
                <c:pt idx="9">
                  <c:v>45022</c:v>
                </c:pt>
                <c:pt idx="10">
                  <c:v>45053</c:v>
                </c:pt>
                <c:pt idx="11">
                  <c:v>45084</c:v>
                </c:pt>
              </c:numCache>
            </c:numRef>
          </c:cat>
          <c:val>
            <c:numRef>
              <c:f>'Budget by Month Master'!$D$12:$O$12</c:f>
              <c:numCache>
                <c:formatCode>#,##0</c:formatCode>
                <c:ptCount val="12"/>
                <c:pt idx="0">
                  <c:v>33115.892373092058</c:v>
                </c:pt>
                <c:pt idx="1">
                  <c:v>46705.548110101088</c:v>
                </c:pt>
                <c:pt idx="2">
                  <c:v>55484.709192676906</c:v>
                </c:pt>
                <c:pt idx="3">
                  <c:v>39266.778045275103</c:v>
                </c:pt>
                <c:pt idx="4">
                  <c:v>50358.622948036114</c:v>
                </c:pt>
                <c:pt idx="5">
                  <c:v>46218.68310461301</c:v>
                </c:pt>
                <c:pt idx="6">
                  <c:v>50969.418385353812</c:v>
                </c:pt>
                <c:pt idx="7">
                  <c:v>51246.390302177642</c:v>
                </c:pt>
                <c:pt idx="8">
                  <c:v>49748.57946792963</c:v>
                </c:pt>
                <c:pt idx="9">
                  <c:v>50553.977186588476</c:v>
                </c:pt>
                <c:pt idx="10">
                  <c:v>47734.007264876927</c:v>
                </c:pt>
                <c:pt idx="11">
                  <c:v>39277.005269764748</c:v>
                </c:pt>
              </c:numCache>
            </c:numRef>
          </c:val>
          <c:smooth val="0"/>
          <c:extLst>
            <c:ext xmlns:c16="http://schemas.microsoft.com/office/drawing/2014/chart" uri="{C3380CC4-5D6E-409C-BE32-E72D297353CC}">
              <c16:uniqueId val="{00000000-EE3B-4670-8CF0-B373A3CEF334}"/>
            </c:ext>
          </c:extLst>
        </c:ser>
        <c:dLbls>
          <c:showLegendKey val="0"/>
          <c:showVal val="0"/>
          <c:showCatName val="0"/>
          <c:showSerName val="0"/>
          <c:showPercent val="0"/>
          <c:showBubbleSize val="0"/>
        </c:dLbls>
        <c:marker val="1"/>
        <c:smooth val="0"/>
        <c:axId val="92656384"/>
        <c:axId val="92658688"/>
      </c:lineChart>
      <c:lineChart>
        <c:grouping val="standard"/>
        <c:varyColors val="0"/>
        <c:ser>
          <c:idx val="1"/>
          <c:order val="1"/>
          <c:tx>
            <c:strRef>
              <c:f>'Budget by Month Master'!$B$52</c:f>
              <c:strCache>
                <c:ptCount val="1"/>
                <c:pt idx="0">
                  <c:v>Operating Surplus</c:v>
                </c:pt>
              </c:strCache>
            </c:strRef>
          </c:tx>
          <c:spPr>
            <a:ln w="38100">
              <a:solidFill>
                <a:srgbClr val="00FF00"/>
              </a:solidFill>
              <a:prstDash val="solid"/>
            </a:ln>
          </c:spPr>
          <c:marker>
            <c:symbol val="square"/>
            <c:size val="10"/>
            <c:spPr>
              <a:solidFill>
                <a:srgbClr val="00FF00"/>
              </a:solidFill>
              <a:ln>
                <a:solidFill>
                  <a:srgbClr val="00FF00"/>
                </a:solidFill>
                <a:prstDash val="solid"/>
              </a:ln>
            </c:spPr>
          </c:marker>
          <c:val>
            <c:numRef>
              <c:f>'Budget by Month Master'!$D$52:$O$52</c:f>
              <c:numCache>
                <c:formatCode>#,##0</c:formatCode>
                <c:ptCount val="12"/>
                <c:pt idx="0">
                  <c:v>1987.888330674421</c:v>
                </c:pt>
                <c:pt idx="1">
                  <c:v>7384.1691039139332</c:v>
                </c:pt>
                <c:pt idx="2">
                  <c:v>10870.26316485909</c:v>
                </c:pt>
                <c:pt idx="3">
                  <c:v>4430.3273985607011</c:v>
                </c:pt>
                <c:pt idx="4">
                  <c:v>8834.7590152881385</c:v>
                </c:pt>
                <c:pt idx="5">
                  <c:v>7190.8411551327372</c:v>
                </c:pt>
                <c:pt idx="6">
                  <c:v>9077.2981743783603</c:v>
                </c:pt>
                <c:pt idx="7">
                  <c:v>9187.2802267870502</c:v>
                </c:pt>
                <c:pt idx="8">
                  <c:v>8592.5184489157473</c:v>
                </c:pt>
                <c:pt idx="9">
                  <c:v>8912.3317177812496</c:v>
                </c:pt>
                <c:pt idx="10">
                  <c:v>7792.5572537229746</c:v>
                </c:pt>
                <c:pt idx="11">
                  <c:v>4434.3885003240648</c:v>
                </c:pt>
              </c:numCache>
            </c:numRef>
          </c:val>
          <c:smooth val="0"/>
          <c:extLst>
            <c:ext xmlns:c16="http://schemas.microsoft.com/office/drawing/2014/chart" uri="{C3380CC4-5D6E-409C-BE32-E72D297353CC}">
              <c16:uniqueId val="{00000001-EE3B-4670-8CF0-B373A3CEF334}"/>
            </c:ext>
          </c:extLst>
        </c:ser>
        <c:ser>
          <c:idx val="2"/>
          <c:order val="2"/>
          <c:tx>
            <c:strRef>
              <c:f>'Budget by Month Master'!$B$58</c:f>
              <c:strCache>
                <c:ptCount val="1"/>
                <c:pt idx="0">
                  <c:v>Business Return</c:v>
                </c:pt>
              </c:strCache>
            </c:strRef>
          </c:tx>
          <c:spPr>
            <a:ln w="38100">
              <a:solidFill>
                <a:srgbClr val="FF0000"/>
              </a:solidFill>
              <a:prstDash val="solid"/>
            </a:ln>
          </c:spPr>
          <c:marker>
            <c:symbol val="triangle"/>
            <c:size val="10"/>
            <c:spPr>
              <a:solidFill>
                <a:srgbClr val="FF0000"/>
              </a:solidFill>
              <a:ln>
                <a:solidFill>
                  <a:srgbClr val="FF0000"/>
                </a:solidFill>
                <a:prstDash val="solid"/>
              </a:ln>
            </c:spPr>
          </c:marker>
          <c:val>
            <c:numRef>
              <c:f>'Budget by Month Master'!$D$58:$O$58</c:f>
              <c:numCache>
                <c:formatCode>#,##0</c:formatCode>
                <c:ptCount val="12"/>
                <c:pt idx="0">
                  <c:v>914.61769960645984</c:v>
                </c:pt>
                <c:pt idx="1">
                  <c:v>6310.8984728459718</c:v>
                </c:pt>
                <c:pt idx="2">
                  <c:v>9796.99253379113</c:v>
                </c:pt>
                <c:pt idx="3">
                  <c:v>3357.0567674927397</c:v>
                </c:pt>
                <c:pt idx="4">
                  <c:v>7761.4883842201771</c:v>
                </c:pt>
                <c:pt idx="5">
                  <c:v>6117.5705240647758</c:v>
                </c:pt>
                <c:pt idx="6">
                  <c:v>8004.0275433103989</c:v>
                </c:pt>
                <c:pt idx="7">
                  <c:v>8114.0095957190888</c:v>
                </c:pt>
                <c:pt idx="8">
                  <c:v>7519.2478178477859</c:v>
                </c:pt>
                <c:pt idx="9">
                  <c:v>7839.0610867132882</c:v>
                </c:pt>
                <c:pt idx="10">
                  <c:v>6719.2866226550132</c:v>
                </c:pt>
                <c:pt idx="11">
                  <c:v>3361.1178692561034</c:v>
                </c:pt>
              </c:numCache>
            </c:numRef>
          </c:val>
          <c:smooth val="0"/>
          <c:extLst>
            <c:ext xmlns:c16="http://schemas.microsoft.com/office/drawing/2014/chart" uri="{C3380CC4-5D6E-409C-BE32-E72D297353CC}">
              <c16:uniqueId val="{00000002-EE3B-4670-8CF0-B373A3CEF334}"/>
            </c:ext>
          </c:extLst>
        </c:ser>
        <c:dLbls>
          <c:showLegendKey val="0"/>
          <c:showVal val="0"/>
          <c:showCatName val="0"/>
          <c:showSerName val="0"/>
          <c:showPercent val="0"/>
          <c:showBubbleSize val="0"/>
        </c:dLbls>
        <c:marker val="1"/>
        <c:smooth val="0"/>
        <c:axId val="92734592"/>
        <c:axId val="92736128"/>
      </c:lineChart>
      <c:dateAx>
        <c:axId val="92656384"/>
        <c:scaling>
          <c:orientation val="minMax"/>
        </c:scaling>
        <c:delete val="0"/>
        <c:axPos val="b"/>
        <c:title>
          <c:tx>
            <c:rich>
              <a:bodyPr/>
              <a:lstStyle/>
              <a:p>
                <a:pPr>
                  <a:defRPr sz="1600" b="1" i="0" u="none" strike="noStrike" baseline="0">
                    <a:solidFill>
                      <a:srgbClr val="000000"/>
                    </a:solidFill>
                    <a:latin typeface="Arial"/>
                    <a:ea typeface="Arial"/>
                    <a:cs typeface="Arial"/>
                  </a:defRPr>
                </a:pPr>
                <a:r>
                  <a:rPr lang="en-AU"/>
                  <a:t>Month</a:t>
                </a:r>
              </a:p>
            </c:rich>
          </c:tx>
          <c:layout>
            <c:manualLayout>
              <c:xMode val="edge"/>
              <c:yMode val="edge"/>
              <c:x val="0.50879007238883533"/>
              <c:y val="0.88983050847457823"/>
            </c:manualLayout>
          </c:layout>
          <c:overlay val="0"/>
          <c:spPr>
            <a:noFill/>
            <a:ln w="25400">
              <a:noFill/>
            </a:ln>
          </c:spPr>
        </c:title>
        <c:numFmt formatCode="mmm\-yy"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92658688"/>
        <c:crosses val="autoZero"/>
        <c:auto val="1"/>
        <c:lblOffset val="100"/>
        <c:baseTimeUnit val="months"/>
        <c:majorUnit val="1"/>
        <c:majorTimeUnit val="months"/>
        <c:minorUnit val="1"/>
        <c:minorTimeUnit val="months"/>
      </c:dateAx>
      <c:valAx>
        <c:axId val="92658688"/>
        <c:scaling>
          <c:orientation val="minMax"/>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AU"/>
                  <a:t>Revenue</a:t>
                </a:r>
              </a:p>
            </c:rich>
          </c:tx>
          <c:layout>
            <c:manualLayout>
              <c:xMode val="edge"/>
              <c:yMode val="edge"/>
              <c:x val="0"/>
              <c:y val="0.3542372881355932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92656384"/>
        <c:crosses val="autoZero"/>
        <c:crossBetween val="between"/>
      </c:valAx>
      <c:catAx>
        <c:axId val="92734592"/>
        <c:scaling>
          <c:orientation val="minMax"/>
        </c:scaling>
        <c:delete val="1"/>
        <c:axPos val="b"/>
        <c:majorTickMark val="out"/>
        <c:minorTickMark val="none"/>
        <c:tickLblPos val="nextTo"/>
        <c:crossAx val="92736128"/>
        <c:crosses val="autoZero"/>
        <c:auto val="1"/>
        <c:lblAlgn val="ctr"/>
        <c:lblOffset val="100"/>
        <c:noMultiLvlLbl val="0"/>
      </c:catAx>
      <c:valAx>
        <c:axId val="92736128"/>
        <c:scaling>
          <c:orientation val="minMax"/>
        </c:scaling>
        <c:delete val="0"/>
        <c:axPos val="r"/>
        <c:title>
          <c:tx>
            <c:rich>
              <a:bodyPr/>
              <a:lstStyle/>
              <a:p>
                <a:pPr>
                  <a:defRPr sz="1600" b="1" i="0" u="none" strike="noStrike" baseline="0">
                    <a:solidFill>
                      <a:srgbClr val="000000"/>
                    </a:solidFill>
                    <a:latin typeface="Arial"/>
                    <a:ea typeface="Arial"/>
                    <a:cs typeface="Arial"/>
                  </a:defRPr>
                </a:pPr>
                <a:r>
                  <a:rPr lang="en-AU"/>
                  <a:t>Surplus and Return</a:t>
                </a:r>
              </a:p>
            </c:rich>
          </c:tx>
          <c:layout>
            <c:manualLayout>
              <c:xMode val="edge"/>
              <c:yMode val="edge"/>
              <c:x val="0.96173733195449862"/>
              <c:y val="0.26440677966101783"/>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92734592"/>
        <c:crosses val="max"/>
        <c:crossBetween val="between"/>
      </c:valAx>
      <c:dTable>
        <c:showHorzBorder val="1"/>
        <c:showVertBorder val="1"/>
        <c:showOutline val="1"/>
        <c:showKeys val="1"/>
        <c:spPr>
          <a:ln w="3175">
            <a:solidFill>
              <a:srgbClr val="000000"/>
            </a:solidFill>
            <a:prstDash val="solid"/>
          </a:ln>
        </c:spPr>
        <c:txPr>
          <a:bodyPr/>
          <a:lstStyle/>
          <a:p>
            <a:pPr rtl="0">
              <a:defRPr sz="900" b="0" i="0" u="none" strike="noStrike" baseline="0">
                <a:solidFill>
                  <a:srgbClr val="000000"/>
                </a:solidFill>
                <a:latin typeface="Arial"/>
                <a:ea typeface="Arial"/>
                <a:cs typeface="Arial"/>
              </a:defRPr>
            </a:pPr>
            <a:endParaRPr lang="en-US"/>
          </a:p>
        </c:txPr>
      </c:dTable>
      <c:spPr>
        <a:solidFill>
          <a:srgbClr val="FFFFFF"/>
        </a:solidFill>
        <a:ln w="12700">
          <a:solidFill>
            <a:srgbClr val="808080"/>
          </a:solidFill>
          <a:prstDash val="solid"/>
        </a:ln>
      </c:spPr>
    </c:plotArea>
    <c:plotVisOnly val="1"/>
    <c:dispBlanksAs val="gap"/>
    <c:showDLblsOverMax val="0"/>
  </c:chart>
  <c:spPr>
    <a:no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sng" strike="noStrike" baseline="0">
                <a:solidFill>
                  <a:srgbClr val="000000"/>
                </a:solidFill>
                <a:latin typeface="Arial"/>
                <a:ea typeface="Arial"/>
                <a:cs typeface="Arial"/>
              </a:defRPr>
            </a:pPr>
            <a:r>
              <a:rPr lang="en-AU"/>
              <a:t>Budget by Month</a:t>
            </a:r>
          </a:p>
        </c:rich>
      </c:tx>
      <c:layout>
        <c:manualLayout>
          <c:xMode val="edge"/>
          <c:yMode val="edge"/>
          <c:x val="0"/>
          <c:y val="1.6949152542372935E-3"/>
        </c:manualLayout>
      </c:layout>
      <c:overlay val="0"/>
      <c:spPr>
        <a:noFill/>
        <a:ln w="25400">
          <a:noFill/>
        </a:ln>
      </c:spPr>
    </c:title>
    <c:autoTitleDeleted val="0"/>
    <c:plotArea>
      <c:layout>
        <c:manualLayout>
          <c:layoutTarget val="inner"/>
          <c:xMode val="edge"/>
          <c:yMode val="edge"/>
          <c:x val="0.1768355739400207"/>
          <c:y val="0.19491525423728867"/>
          <c:w val="0.73526370217166459"/>
          <c:h val="0.483050847457628"/>
        </c:manualLayout>
      </c:layout>
      <c:lineChart>
        <c:grouping val="standard"/>
        <c:varyColors val="0"/>
        <c:ser>
          <c:idx val="0"/>
          <c:order val="0"/>
          <c:tx>
            <c:strRef>
              <c:f>'Budget by Month'!$C$12</c:f>
              <c:strCache>
                <c:ptCount val="1"/>
                <c:pt idx="0">
                  <c:v>Total Revenue</c:v>
                </c:pt>
              </c:strCache>
            </c:strRef>
          </c:tx>
          <c:spPr>
            <a:ln w="38100">
              <a:solidFill>
                <a:srgbClr val="0000FF"/>
              </a:solidFill>
              <a:prstDash val="solid"/>
            </a:ln>
          </c:spPr>
          <c:marker>
            <c:symbol val="diamond"/>
            <c:size val="10"/>
            <c:spPr>
              <a:solidFill>
                <a:srgbClr val="0000FF"/>
              </a:solidFill>
              <a:ln>
                <a:solidFill>
                  <a:srgbClr val="0000FF"/>
                </a:solidFill>
                <a:prstDash val="solid"/>
              </a:ln>
            </c:spPr>
          </c:marker>
          <c:cat>
            <c:numRef>
              <c:f>'Budget by Month'!$E$6:$P$6</c:f>
              <c:numCache>
                <c:formatCode>mmm\-yy</c:formatCode>
                <c:ptCount val="12"/>
                <c:pt idx="0">
                  <c:v>40179</c:v>
                </c:pt>
                <c:pt idx="1">
                  <c:v>40210</c:v>
                </c:pt>
                <c:pt idx="2">
                  <c:v>40241</c:v>
                </c:pt>
                <c:pt idx="3">
                  <c:v>40272</c:v>
                </c:pt>
                <c:pt idx="4">
                  <c:v>40303</c:v>
                </c:pt>
                <c:pt idx="5">
                  <c:v>40334</c:v>
                </c:pt>
                <c:pt idx="6">
                  <c:v>40365</c:v>
                </c:pt>
                <c:pt idx="7">
                  <c:v>40396</c:v>
                </c:pt>
                <c:pt idx="8">
                  <c:v>40427</c:v>
                </c:pt>
                <c:pt idx="9">
                  <c:v>40458</c:v>
                </c:pt>
                <c:pt idx="10">
                  <c:v>40489</c:v>
                </c:pt>
                <c:pt idx="11">
                  <c:v>40520</c:v>
                </c:pt>
              </c:numCache>
            </c:numRef>
          </c:cat>
          <c:val>
            <c:numRef>
              <c:f>'Budget by Month'!$E$12:$P$12</c:f>
              <c:numCache>
                <c:formatCode>#,##0</c:formatCode>
                <c:ptCount val="12"/>
                <c:pt idx="0">
                  <c:v>33115.892373092058</c:v>
                </c:pt>
                <c:pt idx="1">
                  <c:v>46705.548110101088</c:v>
                </c:pt>
                <c:pt idx="2">
                  <c:v>55484.709192676906</c:v>
                </c:pt>
                <c:pt idx="3">
                  <c:v>39266.778045275103</c:v>
                </c:pt>
                <c:pt idx="4">
                  <c:v>50358.622948036114</c:v>
                </c:pt>
                <c:pt idx="5">
                  <c:v>46218.68310461301</c:v>
                </c:pt>
                <c:pt idx="6">
                  <c:v>50969.418385353812</c:v>
                </c:pt>
                <c:pt idx="7">
                  <c:v>51246.390302177642</c:v>
                </c:pt>
                <c:pt idx="8">
                  <c:v>49748.57946792963</c:v>
                </c:pt>
                <c:pt idx="9">
                  <c:v>50553.977186588476</c:v>
                </c:pt>
                <c:pt idx="10">
                  <c:v>47734.007264876927</c:v>
                </c:pt>
                <c:pt idx="11">
                  <c:v>39277.005269764748</c:v>
                </c:pt>
              </c:numCache>
            </c:numRef>
          </c:val>
          <c:smooth val="0"/>
          <c:extLst>
            <c:ext xmlns:c16="http://schemas.microsoft.com/office/drawing/2014/chart" uri="{C3380CC4-5D6E-409C-BE32-E72D297353CC}">
              <c16:uniqueId val="{00000000-BD5D-4E49-B33D-3299089864FC}"/>
            </c:ext>
          </c:extLst>
        </c:ser>
        <c:dLbls>
          <c:showLegendKey val="0"/>
          <c:showVal val="0"/>
          <c:showCatName val="0"/>
          <c:showSerName val="0"/>
          <c:showPercent val="0"/>
          <c:showBubbleSize val="0"/>
        </c:dLbls>
        <c:marker val="1"/>
        <c:smooth val="0"/>
        <c:axId val="92859008"/>
        <c:axId val="92996736"/>
      </c:lineChart>
      <c:lineChart>
        <c:grouping val="standard"/>
        <c:varyColors val="0"/>
        <c:ser>
          <c:idx val="1"/>
          <c:order val="1"/>
          <c:tx>
            <c:strRef>
              <c:f>'Budget by Month'!$C$52</c:f>
              <c:strCache>
                <c:ptCount val="1"/>
                <c:pt idx="0">
                  <c:v>Operating Surplus</c:v>
                </c:pt>
              </c:strCache>
            </c:strRef>
          </c:tx>
          <c:spPr>
            <a:ln w="38100">
              <a:solidFill>
                <a:srgbClr val="00FF00"/>
              </a:solidFill>
              <a:prstDash val="solid"/>
            </a:ln>
          </c:spPr>
          <c:marker>
            <c:symbol val="square"/>
            <c:size val="10"/>
            <c:spPr>
              <a:solidFill>
                <a:srgbClr val="00FF00"/>
              </a:solidFill>
              <a:ln>
                <a:solidFill>
                  <a:srgbClr val="00FF00"/>
                </a:solidFill>
                <a:prstDash val="solid"/>
              </a:ln>
            </c:spPr>
          </c:marker>
          <c:val>
            <c:numRef>
              <c:f>'Budget by Month'!$E$52:$P$52</c:f>
              <c:numCache>
                <c:formatCode>#,##0</c:formatCode>
                <c:ptCount val="12"/>
                <c:pt idx="0">
                  <c:v>1987.888330674421</c:v>
                </c:pt>
                <c:pt idx="1">
                  <c:v>7384.1691039139332</c:v>
                </c:pt>
                <c:pt idx="2">
                  <c:v>10870.26316485909</c:v>
                </c:pt>
                <c:pt idx="3">
                  <c:v>4430.3273985607011</c:v>
                </c:pt>
                <c:pt idx="4">
                  <c:v>8834.7590152881385</c:v>
                </c:pt>
                <c:pt idx="5">
                  <c:v>7190.8411551327372</c:v>
                </c:pt>
                <c:pt idx="6">
                  <c:v>9077.2981743783603</c:v>
                </c:pt>
                <c:pt idx="7">
                  <c:v>9187.2802267870502</c:v>
                </c:pt>
                <c:pt idx="8">
                  <c:v>8592.5184489157473</c:v>
                </c:pt>
                <c:pt idx="9">
                  <c:v>8912.3317177812496</c:v>
                </c:pt>
                <c:pt idx="10">
                  <c:v>7792.5572537229746</c:v>
                </c:pt>
                <c:pt idx="11">
                  <c:v>4434.3885003240648</c:v>
                </c:pt>
              </c:numCache>
            </c:numRef>
          </c:val>
          <c:smooth val="0"/>
          <c:extLst>
            <c:ext xmlns:c16="http://schemas.microsoft.com/office/drawing/2014/chart" uri="{C3380CC4-5D6E-409C-BE32-E72D297353CC}">
              <c16:uniqueId val="{00000001-BD5D-4E49-B33D-3299089864FC}"/>
            </c:ext>
          </c:extLst>
        </c:ser>
        <c:ser>
          <c:idx val="2"/>
          <c:order val="2"/>
          <c:tx>
            <c:strRef>
              <c:f>'Budget by Month'!$C$58</c:f>
              <c:strCache>
                <c:ptCount val="1"/>
                <c:pt idx="0">
                  <c:v>Business Return</c:v>
                </c:pt>
              </c:strCache>
            </c:strRef>
          </c:tx>
          <c:spPr>
            <a:ln w="38100">
              <a:solidFill>
                <a:srgbClr val="FF0000"/>
              </a:solidFill>
              <a:prstDash val="solid"/>
            </a:ln>
          </c:spPr>
          <c:marker>
            <c:symbol val="triangle"/>
            <c:size val="10"/>
            <c:spPr>
              <a:solidFill>
                <a:srgbClr val="FF0000"/>
              </a:solidFill>
              <a:ln>
                <a:solidFill>
                  <a:srgbClr val="FF0000"/>
                </a:solidFill>
                <a:prstDash val="solid"/>
              </a:ln>
            </c:spPr>
          </c:marker>
          <c:val>
            <c:numRef>
              <c:f>'Budget by Month'!$E$58:$P$58</c:f>
              <c:numCache>
                <c:formatCode>#,##0</c:formatCode>
                <c:ptCount val="12"/>
                <c:pt idx="0">
                  <c:v>914.61769960645984</c:v>
                </c:pt>
                <c:pt idx="1">
                  <c:v>6310.8984728459718</c:v>
                </c:pt>
                <c:pt idx="2">
                  <c:v>9796.99253379113</c:v>
                </c:pt>
                <c:pt idx="3">
                  <c:v>3357.0567674927397</c:v>
                </c:pt>
                <c:pt idx="4">
                  <c:v>7761.4883842201771</c:v>
                </c:pt>
                <c:pt idx="5">
                  <c:v>6117.5705240647758</c:v>
                </c:pt>
                <c:pt idx="6">
                  <c:v>8004.0275433103989</c:v>
                </c:pt>
                <c:pt idx="7">
                  <c:v>8114.0095957190888</c:v>
                </c:pt>
                <c:pt idx="8">
                  <c:v>7519.2478178477859</c:v>
                </c:pt>
                <c:pt idx="9">
                  <c:v>7839.0610867132882</c:v>
                </c:pt>
                <c:pt idx="10">
                  <c:v>6719.2866226550132</c:v>
                </c:pt>
                <c:pt idx="11">
                  <c:v>3361.1178692561034</c:v>
                </c:pt>
              </c:numCache>
            </c:numRef>
          </c:val>
          <c:smooth val="0"/>
          <c:extLst>
            <c:ext xmlns:c16="http://schemas.microsoft.com/office/drawing/2014/chart" uri="{C3380CC4-5D6E-409C-BE32-E72D297353CC}">
              <c16:uniqueId val="{00000002-BD5D-4E49-B33D-3299089864FC}"/>
            </c:ext>
          </c:extLst>
        </c:ser>
        <c:dLbls>
          <c:showLegendKey val="0"/>
          <c:showVal val="0"/>
          <c:showCatName val="0"/>
          <c:showSerName val="0"/>
          <c:showPercent val="0"/>
          <c:showBubbleSize val="0"/>
        </c:dLbls>
        <c:marker val="1"/>
        <c:smooth val="0"/>
        <c:axId val="92998656"/>
        <c:axId val="93008640"/>
      </c:lineChart>
      <c:dateAx>
        <c:axId val="92859008"/>
        <c:scaling>
          <c:orientation val="minMax"/>
        </c:scaling>
        <c:delete val="0"/>
        <c:axPos val="b"/>
        <c:title>
          <c:tx>
            <c:rich>
              <a:bodyPr/>
              <a:lstStyle/>
              <a:p>
                <a:pPr>
                  <a:defRPr sz="1600" b="1" i="0" u="none" strike="noStrike" baseline="0">
                    <a:solidFill>
                      <a:srgbClr val="000000"/>
                    </a:solidFill>
                    <a:latin typeface="Arial"/>
                    <a:ea typeface="Arial"/>
                    <a:cs typeface="Arial"/>
                  </a:defRPr>
                </a:pPr>
                <a:r>
                  <a:rPr lang="en-AU"/>
                  <a:t>Month</a:t>
                </a:r>
              </a:p>
            </c:rich>
          </c:tx>
          <c:layout>
            <c:manualLayout>
              <c:xMode val="edge"/>
              <c:yMode val="edge"/>
              <c:x val="0.50879007238883533"/>
              <c:y val="0.88983050847457823"/>
            </c:manualLayout>
          </c:layout>
          <c:overlay val="0"/>
          <c:spPr>
            <a:noFill/>
            <a:ln w="25400">
              <a:noFill/>
            </a:ln>
          </c:spPr>
        </c:title>
        <c:numFmt formatCode="mmm\-yy"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92996736"/>
        <c:crosses val="autoZero"/>
        <c:auto val="1"/>
        <c:lblOffset val="100"/>
        <c:baseTimeUnit val="months"/>
        <c:majorUnit val="1"/>
        <c:majorTimeUnit val="months"/>
        <c:minorUnit val="1"/>
        <c:minorTimeUnit val="months"/>
      </c:dateAx>
      <c:valAx>
        <c:axId val="92996736"/>
        <c:scaling>
          <c:orientation val="minMax"/>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AU"/>
                  <a:t>Revenue</a:t>
                </a:r>
              </a:p>
            </c:rich>
          </c:tx>
          <c:layout>
            <c:manualLayout>
              <c:xMode val="edge"/>
              <c:yMode val="edge"/>
              <c:x val="0"/>
              <c:y val="0.3542372881355932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92859008"/>
        <c:crosses val="autoZero"/>
        <c:crossBetween val="between"/>
      </c:valAx>
      <c:catAx>
        <c:axId val="92998656"/>
        <c:scaling>
          <c:orientation val="minMax"/>
        </c:scaling>
        <c:delete val="1"/>
        <c:axPos val="b"/>
        <c:majorTickMark val="out"/>
        <c:minorTickMark val="none"/>
        <c:tickLblPos val="nextTo"/>
        <c:crossAx val="93008640"/>
        <c:crosses val="autoZero"/>
        <c:auto val="1"/>
        <c:lblAlgn val="ctr"/>
        <c:lblOffset val="100"/>
        <c:noMultiLvlLbl val="0"/>
      </c:catAx>
      <c:valAx>
        <c:axId val="93008640"/>
        <c:scaling>
          <c:orientation val="minMax"/>
        </c:scaling>
        <c:delete val="0"/>
        <c:axPos val="r"/>
        <c:title>
          <c:tx>
            <c:rich>
              <a:bodyPr/>
              <a:lstStyle/>
              <a:p>
                <a:pPr>
                  <a:defRPr sz="1600" b="1" i="0" u="none" strike="noStrike" baseline="0">
                    <a:solidFill>
                      <a:srgbClr val="000000"/>
                    </a:solidFill>
                    <a:latin typeface="Arial"/>
                    <a:ea typeface="Arial"/>
                    <a:cs typeface="Arial"/>
                  </a:defRPr>
                </a:pPr>
                <a:r>
                  <a:rPr lang="en-AU"/>
                  <a:t>Surplus and Return</a:t>
                </a:r>
              </a:p>
            </c:rich>
          </c:tx>
          <c:layout>
            <c:manualLayout>
              <c:xMode val="edge"/>
              <c:yMode val="edge"/>
              <c:x val="0.96173733195449862"/>
              <c:y val="0.26440677966101783"/>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92998656"/>
        <c:crosses val="max"/>
        <c:crossBetween val="between"/>
      </c:valAx>
      <c:dTable>
        <c:showHorzBorder val="1"/>
        <c:showVertBorder val="1"/>
        <c:showOutline val="1"/>
        <c:showKeys val="1"/>
        <c:spPr>
          <a:ln w="3175">
            <a:solidFill>
              <a:srgbClr val="000000"/>
            </a:solidFill>
            <a:prstDash val="solid"/>
          </a:ln>
        </c:spPr>
        <c:txPr>
          <a:bodyPr/>
          <a:lstStyle/>
          <a:p>
            <a:pPr rtl="0">
              <a:defRPr sz="900" b="0" i="0" u="none" strike="noStrike" baseline="0">
                <a:solidFill>
                  <a:srgbClr val="000000"/>
                </a:solidFill>
                <a:latin typeface="Arial"/>
                <a:ea typeface="Arial"/>
                <a:cs typeface="Arial"/>
              </a:defRPr>
            </a:pPr>
            <a:endParaRPr lang="en-US"/>
          </a:p>
        </c:txPr>
      </c:dTable>
      <c:spPr>
        <a:solidFill>
          <a:srgbClr val="FFFFFF"/>
        </a:solidFill>
        <a:ln w="12700">
          <a:solidFill>
            <a:srgbClr val="808080"/>
          </a:solidFill>
          <a:prstDash val="solid"/>
        </a:ln>
      </c:spPr>
    </c:plotArea>
    <c:plotVisOnly val="1"/>
    <c:dispBlanksAs val="gap"/>
    <c:showDLblsOverMax val="0"/>
  </c:chart>
  <c:spPr>
    <a:no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10"/>
  <sheetViews>
    <sheetView zoomScale="71" workbookViewId="0"/>
  </sheetViews>
  <pageMargins left="0.75" right="0.75" top="1" bottom="1" header="0.5" footer="0.5"/>
  <pageSetup paperSize="9" orientation="landscape" horizontalDpi="360" verticalDpi="4294967293" r:id="rId1"/>
  <headerFooter alignWithMargins="0"/>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800-000000000000}">
  <sheetPr codeName="Chart15"/>
  <sheetViews>
    <sheetView zoomScale="71" workbookViewId="0"/>
  </sheetViews>
  <pageMargins left="0.75" right="0.75" top="1" bottom="1" header="0.5" footer="0.5"/>
  <pageSetup paperSize="9" orientation="landscape" horizontalDpi="360" verticalDpi="4294967293" r:id="rId1"/>
  <headerFooter alignWithMargins="0"/>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1"/>
  <sheetViews>
    <sheetView zoomScale="71" workbookViewId="0"/>
  </sheetViews>
  <pageMargins left="0.75" right="0.75" top="1" bottom="1" header="0.5" footer="0.5"/>
  <pageSetup paperSize="9" orientation="landscape" horizontalDpi="360" verticalDpi="4294967293" r:id="rId1"/>
  <headerFooter alignWithMargins="0"/>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12"/>
  <sheetViews>
    <sheetView zoomScale="71" workbookViewId="0"/>
  </sheetViews>
  <pageMargins left="0.75" right="0.75" top="1" bottom="1" header="0.5" footer="0.5"/>
  <pageSetup paperSize="9" orientation="landscape" horizontalDpi="360" verticalDpi="4294967293" r:id="rId1"/>
  <headerFooter alignWithMargins="0"/>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14"/>
  <sheetViews>
    <sheetView zoomScale="71" workbookViewId="0"/>
  </sheetViews>
  <pageMargins left="0.75" right="0.75" top="1" bottom="1" header="0.5" footer="0.5"/>
  <pageSetup paperSize="9" orientation="landscape" horizontalDpi="360" verticalDpi="4294967293" r:id="rId1"/>
  <headerFooter alignWithMargins="0"/>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E00-000000000000}">
  <sheetPr codeName="Chart13"/>
  <sheetViews>
    <sheetView zoomScale="71" workbookViewId="0"/>
  </sheetViews>
  <pageMargins left="0.75" right="0.75" top="1" bottom="1" header="0.5" footer="0.5"/>
  <pageSetup paperSize="9" orientation="landscape" horizontalDpi="360" verticalDpi="4294967293" r:id="rId1"/>
  <headerFooter alignWithMargins="0"/>
  <drawing r:id="rId2"/>
</chartsheet>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2.v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image" Target="../media/image10.emf"/><Relationship Id="rId7" Type="http://schemas.openxmlformats.org/officeDocument/2006/relationships/image" Target="../media/image6.emf"/><Relationship Id="rId12" Type="http://schemas.openxmlformats.org/officeDocument/2006/relationships/image" Target="../media/image1.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7.emf"/><Relationship Id="rId11" Type="http://schemas.openxmlformats.org/officeDocument/2006/relationships/image" Target="../media/image2.emf"/><Relationship Id="rId5" Type="http://schemas.openxmlformats.org/officeDocument/2006/relationships/image" Target="../media/image8.emf"/><Relationship Id="rId10" Type="http://schemas.openxmlformats.org/officeDocument/2006/relationships/image" Target="../media/image3.emf"/><Relationship Id="rId4" Type="http://schemas.openxmlformats.org/officeDocument/2006/relationships/image" Target="../media/image9.emf"/><Relationship Id="rId9"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13" Type="http://schemas.openxmlformats.org/officeDocument/2006/relationships/image" Target="../media/image18.emf"/><Relationship Id="rId18" Type="http://schemas.openxmlformats.org/officeDocument/2006/relationships/image" Target="../media/image13.emf"/><Relationship Id="rId3" Type="http://schemas.openxmlformats.org/officeDocument/2006/relationships/image" Target="../media/image28.emf"/><Relationship Id="rId7" Type="http://schemas.openxmlformats.org/officeDocument/2006/relationships/image" Target="../media/image24.emf"/><Relationship Id="rId12" Type="http://schemas.openxmlformats.org/officeDocument/2006/relationships/image" Target="../media/image19.emf"/><Relationship Id="rId17" Type="http://schemas.openxmlformats.org/officeDocument/2006/relationships/image" Target="../media/image14.emf"/><Relationship Id="rId2" Type="http://schemas.openxmlformats.org/officeDocument/2006/relationships/image" Target="../media/image29.emf"/><Relationship Id="rId16" Type="http://schemas.openxmlformats.org/officeDocument/2006/relationships/image" Target="../media/image15.emf"/><Relationship Id="rId1" Type="http://schemas.openxmlformats.org/officeDocument/2006/relationships/image" Target="../media/image30.emf"/><Relationship Id="rId6" Type="http://schemas.openxmlformats.org/officeDocument/2006/relationships/image" Target="../media/image25.emf"/><Relationship Id="rId11" Type="http://schemas.openxmlformats.org/officeDocument/2006/relationships/image" Target="../media/image20.emf"/><Relationship Id="rId5" Type="http://schemas.openxmlformats.org/officeDocument/2006/relationships/image" Target="../media/image26.emf"/><Relationship Id="rId15" Type="http://schemas.openxmlformats.org/officeDocument/2006/relationships/image" Target="../media/image16.emf"/><Relationship Id="rId10" Type="http://schemas.openxmlformats.org/officeDocument/2006/relationships/image" Target="../media/image21.emf"/><Relationship Id="rId4" Type="http://schemas.openxmlformats.org/officeDocument/2006/relationships/image" Target="../media/image27.emf"/><Relationship Id="rId9" Type="http://schemas.openxmlformats.org/officeDocument/2006/relationships/image" Target="../media/image22.emf"/><Relationship Id="rId14"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1714500</xdr:colOff>
          <xdr:row>14</xdr:row>
          <xdr:rowOff>19050</xdr:rowOff>
        </xdr:from>
        <xdr:to>
          <xdr:col>2</xdr:col>
          <xdr:colOff>2286000</xdr:colOff>
          <xdr:row>15</xdr:row>
          <xdr:rowOff>123825</xdr:rowOff>
        </xdr:to>
        <xdr:sp macro="" textlink="">
          <xdr:nvSpPr>
            <xdr:cNvPr id="516097" name="Button 1" hidden="1">
              <a:extLst>
                <a:ext uri="{63B3BB69-23CF-44E3-9099-C40C66FF867C}">
                  <a14:compatExt spid="_x0000_s516097"/>
                </a:ext>
                <a:ext uri="{FF2B5EF4-FFF2-40B4-BE49-F238E27FC236}">
                  <a16:creationId xmlns:a16="http://schemas.microsoft.com/office/drawing/2014/main" id="{00000000-0008-0000-0100-000001E0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Click here to input your licence details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56</xdr:row>
          <xdr:rowOff>28575</xdr:rowOff>
        </xdr:from>
        <xdr:to>
          <xdr:col>5</xdr:col>
          <xdr:colOff>2171700</xdr:colOff>
          <xdr:row>56</xdr:row>
          <xdr:rowOff>276225</xdr:rowOff>
        </xdr:to>
        <xdr:sp macro="" textlink="">
          <xdr:nvSpPr>
            <xdr:cNvPr id="398425" name="SenAnalButton" hidden="1">
              <a:extLst>
                <a:ext uri="{63B3BB69-23CF-44E3-9099-C40C66FF867C}">
                  <a14:compatExt spid="_x0000_s398425"/>
                </a:ext>
                <a:ext uri="{FF2B5EF4-FFF2-40B4-BE49-F238E27FC236}">
                  <a16:creationId xmlns:a16="http://schemas.microsoft.com/office/drawing/2014/main" id="{00000000-0008-0000-0200-0000591406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65</xdr:row>
          <xdr:rowOff>38100</xdr:rowOff>
        </xdr:from>
        <xdr:to>
          <xdr:col>5</xdr:col>
          <xdr:colOff>2171700</xdr:colOff>
          <xdr:row>66</xdr:row>
          <xdr:rowOff>0</xdr:rowOff>
        </xdr:to>
        <xdr:sp macro="" textlink="">
          <xdr:nvSpPr>
            <xdr:cNvPr id="398426" name="BudMasChaButton" hidden="1">
              <a:extLst>
                <a:ext uri="{63B3BB69-23CF-44E3-9099-C40C66FF867C}">
                  <a14:compatExt spid="_x0000_s398426"/>
                </a:ext>
                <a:ext uri="{FF2B5EF4-FFF2-40B4-BE49-F238E27FC236}">
                  <a16:creationId xmlns:a16="http://schemas.microsoft.com/office/drawing/2014/main" id="{00000000-0008-0000-0200-00005A1406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57</xdr:row>
          <xdr:rowOff>28575</xdr:rowOff>
        </xdr:from>
        <xdr:to>
          <xdr:col>5</xdr:col>
          <xdr:colOff>2171700</xdr:colOff>
          <xdr:row>57</xdr:row>
          <xdr:rowOff>276225</xdr:rowOff>
        </xdr:to>
        <xdr:sp macro="" textlink="">
          <xdr:nvSpPr>
            <xdr:cNvPr id="398427" name="ExpResButton" hidden="1">
              <a:extLst>
                <a:ext uri="{63B3BB69-23CF-44E3-9099-C40C66FF867C}">
                  <a14:compatExt spid="_x0000_s398427"/>
                </a:ext>
                <a:ext uri="{FF2B5EF4-FFF2-40B4-BE49-F238E27FC236}">
                  <a16:creationId xmlns:a16="http://schemas.microsoft.com/office/drawing/2014/main" id="{00000000-0008-0000-0200-00005B1406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58</xdr:row>
          <xdr:rowOff>28575</xdr:rowOff>
        </xdr:from>
        <xdr:to>
          <xdr:col>5</xdr:col>
          <xdr:colOff>2171700</xdr:colOff>
          <xdr:row>58</xdr:row>
          <xdr:rowOff>276225</xdr:rowOff>
        </xdr:to>
        <xdr:sp macro="" textlink="">
          <xdr:nvSpPr>
            <xdr:cNvPr id="398428" name="OptResButton" hidden="1">
              <a:extLst>
                <a:ext uri="{63B3BB69-23CF-44E3-9099-C40C66FF867C}">
                  <a14:compatExt spid="_x0000_s398428"/>
                </a:ext>
                <a:ext uri="{FF2B5EF4-FFF2-40B4-BE49-F238E27FC236}">
                  <a16:creationId xmlns:a16="http://schemas.microsoft.com/office/drawing/2014/main" id="{00000000-0008-0000-0200-00005C1406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59</xdr:row>
          <xdr:rowOff>28575</xdr:rowOff>
        </xdr:from>
        <xdr:to>
          <xdr:col>5</xdr:col>
          <xdr:colOff>2171700</xdr:colOff>
          <xdr:row>59</xdr:row>
          <xdr:rowOff>276225</xdr:rowOff>
        </xdr:to>
        <xdr:sp macro="" textlink="">
          <xdr:nvSpPr>
            <xdr:cNvPr id="398429" name="PesResButton" hidden="1">
              <a:extLst>
                <a:ext uri="{63B3BB69-23CF-44E3-9099-C40C66FF867C}">
                  <a14:compatExt spid="_x0000_s398429"/>
                </a:ext>
                <a:ext uri="{FF2B5EF4-FFF2-40B4-BE49-F238E27FC236}">
                  <a16:creationId xmlns:a16="http://schemas.microsoft.com/office/drawing/2014/main" id="{00000000-0008-0000-0200-00005D1406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60</xdr:row>
          <xdr:rowOff>28575</xdr:rowOff>
        </xdr:from>
        <xdr:to>
          <xdr:col>5</xdr:col>
          <xdr:colOff>2171700</xdr:colOff>
          <xdr:row>60</xdr:row>
          <xdr:rowOff>276225</xdr:rowOff>
        </xdr:to>
        <xdr:sp macro="" textlink="">
          <xdr:nvSpPr>
            <xdr:cNvPr id="398430" name="ForRevButton" hidden="1">
              <a:extLst>
                <a:ext uri="{63B3BB69-23CF-44E3-9099-C40C66FF867C}">
                  <a14:compatExt spid="_x0000_s398430"/>
                </a:ext>
                <a:ext uri="{FF2B5EF4-FFF2-40B4-BE49-F238E27FC236}">
                  <a16:creationId xmlns:a16="http://schemas.microsoft.com/office/drawing/2014/main" id="{00000000-0008-0000-0200-00005E1406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61</xdr:row>
          <xdr:rowOff>38100</xdr:rowOff>
        </xdr:from>
        <xdr:to>
          <xdr:col>5</xdr:col>
          <xdr:colOff>2171700</xdr:colOff>
          <xdr:row>62</xdr:row>
          <xdr:rowOff>0</xdr:rowOff>
        </xdr:to>
        <xdr:sp macro="" textlink="">
          <xdr:nvSpPr>
            <xdr:cNvPr id="398436" name="ForSurButton" hidden="1">
              <a:extLst>
                <a:ext uri="{63B3BB69-23CF-44E3-9099-C40C66FF867C}">
                  <a14:compatExt spid="_x0000_s398436"/>
                </a:ext>
                <a:ext uri="{FF2B5EF4-FFF2-40B4-BE49-F238E27FC236}">
                  <a16:creationId xmlns:a16="http://schemas.microsoft.com/office/drawing/2014/main" id="{00000000-0008-0000-0200-0000641406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63</xdr:row>
          <xdr:rowOff>28575</xdr:rowOff>
        </xdr:from>
        <xdr:to>
          <xdr:col>5</xdr:col>
          <xdr:colOff>2171700</xdr:colOff>
          <xdr:row>63</xdr:row>
          <xdr:rowOff>276225</xdr:rowOff>
        </xdr:to>
        <xdr:sp macro="" textlink="">
          <xdr:nvSpPr>
            <xdr:cNvPr id="398437" name="OpSurButton" hidden="1">
              <a:extLst>
                <a:ext uri="{63B3BB69-23CF-44E3-9099-C40C66FF867C}">
                  <a14:compatExt spid="_x0000_s398437"/>
                </a:ext>
                <a:ext uri="{FF2B5EF4-FFF2-40B4-BE49-F238E27FC236}">
                  <a16:creationId xmlns:a16="http://schemas.microsoft.com/office/drawing/2014/main" id="{00000000-0008-0000-0200-0000651406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64</xdr:row>
          <xdr:rowOff>28575</xdr:rowOff>
        </xdr:from>
        <xdr:to>
          <xdr:col>5</xdr:col>
          <xdr:colOff>2171700</xdr:colOff>
          <xdr:row>64</xdr:row>
          <xdr:rowOff>276225</xdr:rowOff>
        </xdr:to>
        <xdr:sp macro="" textlink="">
          <xdr:nvSpPr>
            <xdr:cNvPr id="398438" name="BudMasButton" hidden="1">
              <a:extLst>
                <a:ext uri="{63B3BB69-23CF-44E3-9099-C40C66FF867C}">
                  <a14:compatExt spid="_x0000_s398438"/>
                </a:ext>
                <a:ext uri="{FF2B5EF4-FFF2-40B4-BE49-F238E27FC236}">
                  <a16:creationId xmlns:a16="http://schemas.microsoft.com/office/drawing/2014/main" id="{00000000-0008-0000-0200-0000661406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62</xdr:row>
          <xdr:rowOff>38100</xdr:rowOff>
        </xdr:from>
        <xdr:to>
          <xdr:col>5</xdr:col>
          <xdr:colOff>2171700</xdr:colOff>
          <xdr:row>63</xdr:row>
          <xdr:rowOff>0</xdr:rowOff>
        </xdr:to>
        <xdr:sp macro="" textlink="">
          <xdr:nvSpPr>
            <xdr:cNvPr id="398458" name="ForRetButton" hidden="1">
              <a:extLst>
                <a:ext uri="{63B3BB69-23CF-44E3-9099-C40C66FF867C}">
                  <a14:compatExt spid="_x0000_s398458"/>
                </a:ext>
                <a:ext uri="{FF2B5EF4-FFF2-40B4-BE49-F238E27FC236}">
                  <a16:creationId xmlns:a16="http://schemas.microsoft.com/office/drawing/2014/main" id="{00000000-0008-0000-0200-00007A1406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66</xdr:row>
          <xdr:rowOff>38100</xdr:rowOff>
        </xdr:from>
        <xdr:to>
          <xdr:col>5</xdr:col>
          <xdr:colOff>2171700</xdr:colOff>
          <xdr:row>67</xdr:row>
          <xdr:rowOff>0</xdr:rowOff>
        </xdr:to>
        <xdr:sp macro="" textlink="">
          <xdr:nvSpPr>
            <xdr:cNvPr id="398462" name="BudMonButton" hidden="1">
              <a:extLst>
                <a:ext uri="{63B3BB69-23CF-44E3-9099-C40C66FF867C}">
                  <a14:compatExt spid="_x0000_s398462"/>
                </a:ext>
                <a:ext uri="{FF2B5EF4-FFF2-40B4-BE49-F238E27FC236}">
                  <a16:creationId xmlns:a16="http://schemas.microsoft.com/office/drawing/2014/main" id="{00000000-0008-0000-0200-00007E1406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67</xdr:row>
          <xdr:rowOff>38100</xdr:rowOff>
        </xdr:from>
        <xdr:to>
          <xdr:col>5</xdr:col>
          <xdr:colOff>2171700</xdr:colOff>
          <xdr:row>68</xdr:row>
          <xdr:rowOff>0</xdr:rowOff>
        </xdr:to>
        <xdr:sp macro="" textlink="">
          <xdr:nvSpPr>
            <xdr:cNvPr id="398463" name="BudMonChaButton" hidden="1">
              <a:extLst>
                <a:ext uri="{63B3BB69-23CF-44E3-9099-C40C66FF867C}">
                  <a14:compatExt spid="_x0000_s398463"/>
                </a:ext>
                <a:ext uri="{FF2B5EF4-FFF2-40B4-BE49-F238E27FC236}">
                  <a16:creationId xmlns:a16="http://schemas.microsoft.com/office/drawing/2014/main" id="{00000000-0008-0000-0200-00007F1406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9203028" cy="5607676"/>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0.2435</cdr:x>
      <cdr:y>0</cdr:y>
    </cdr:from>
    <cdr:to>
      <cdr:x>0.5785</cdr:x>
      <cdr:y>0.07325</cdr:y>
    </cdr:to>
    <cdr:sp macro="" textlink="Input!$C$11">
      <cdr:nvSpPr>
        <cdr:cNvPr id="406531" name="Text Box 3"/>
        <cdr:cNvSpPr txBox="1">
          <a:spLocks xmlns:a="http://schemas.openxmlformats.org/drawingml/2006/main" noChangeArrowheads="1" noTextEdit="1"/>
        </cdr:cNvSpPr>
      </cdr:nvSpPr>
      <cdr:spPr bwMode="auto">
        <a:xfrm xmlns:a="http://schemas.openxmlformats.org/drawingml/2006/main">
          <a:off x="2242799" y="0"/>
          <a:ext cx="3085576" cy="41164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0" bIns="27432" anchor="ctr" upright="1"/>
        <a:lstStyle xmlns:a="http://schemas.openxmlformats.org/drawingml/2006/main"/>
        <a:p xmlns:a="http://schemas.openxmlformats.org/drawingml/2006/main">
          <a:pPr algn="l" rtl="0">
            <a:defRPr sz="1000"/>
          </a:pPr>
          <a:fld id="{A7F1BA6F-EBD7-4908-82C0-E06FA3FF9DD4}" type="TxLink">
            <a:rPr lang="en-AU" sz="1400" b="1" i="0" u="none" strike="noStrike" baseline="0">
              <a:solidFill>
                <a:srgbClr val="000000"/>
              </a:solidFill>
              <a:latin typeface="Arial"/>
              <a:cs typeface="Arial"/>
            </a:rPr>
            <a:pPr algn="l" rtl="0">
              <a:defRPr sz="1000"/>
            </a:pPr>
            <a:t>Acme Widgets</a:t>
          </a:fld>
          <a:endParaRPr lang="en-AU" sz="1400" b="1" i="0" u="none" strike="noStrike" baseline="0">
            <a:solidFill>
              <a:srgbClr val="000000"/>
            </a:solidFill>
            <a:latin typeface="Arial"/>
            <a:cs typeface="Arial"/>
          </a:endParaRPr>
        </a:p>
      </cdr:txBody>
    </cdr:sp>
  </cdr:relSizeAnchor>
</c:userShapes>
</file>

<file path=xl/drawings/drawing5.xml><?xml version="1.0" encoding="utf-8"?>
<xdr:wsDr xmlns:xdr="http://schemas.openxmlformats.org/drawingml/2006/spreadsheetDrawing" xmlns:a="http://schemas.openxmlformats.org/drawingml/2006/main">
  <xdr:absoluteAnchor>
    <xdr:pos x="0" y="0"/>
    <xdr:ext cx="9203028" cy="5607676"/>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0.2435</cdr:x>
      <cdr:y>0</cdr:y>
    </cdr:from>
    <cdr:to>
      <cdr:x>0.5785</cdr:x>
      <cdr:y>0.07325</cdr:y>
    </cdr:to>
    <cdr:sp macro="" textlink="Input!$C$11">
      <cdr:nvSpPr>
        <cdr:cNvPr id="500739" name="Text Box 3"/>
        <cdr:cNvSpPr txBox="1">
          <a:spLocks xmlns:a="http://schemas.openxmlformats.org/drawingml/2006/main" noChangeArrowheads="1" noTextEdit="1"/>
        </cdr:cNvSpPr>
      </cdr:nvSpPr>
      <cdr:spPr bwMode="auto">
        <a:xfrm xmlns:a="http://schemas.openxmlformats.org/drawingml/2006/main">
          <a:off x="2242799" y="0"/>
          <a:ext cx="3085576" cy="41164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0" bIns="27432" anchor="ctr" upright="1"/>
        <a:lstStyle xmlns:a="http://schemas.openxmlformats.org/drawingml/2006/main"/>
        <a:p xmlns:a="http://schemas.openxmlformats.org/drawingml/2006/main">
          <a:pPr algn="l" rtl="0">
            <a:defRPr sz="1000"/>
          </a:pPr>
          <a:fld id="{73CB85A2-05C5-4D0E-B438-61ED5384408E}" type="TxLink">
            <a:rPr lang="en-AU" sz="1400" b="1" i="0" u="none" strike="noStrike" baseline="0">
              <a:solidFill>
                <a:srgbClr val="000000"/>
              </a:solidFill>
              <a:latin typeface="Arial"/>
              <a:cs typeface="Arial"/>
            </a:rPr>
            <a:pPr algn="l" rtl="0">
              <a:defRPr sz="1000"/>
            </a:pPr>
            <a:t>Acme Widgets</a:t>
          </a:fld>
          <a:endParaRPr lang="en-AU" sz="1400" b="1" i="0" u="none" strike="noStrike" baseline="0">
            <a:solidFill>
              <a:srgbClr val="000000"/>
            </a:solidFill>
            <a:latin typeface="Arial"/>
            <a:cs typeface="Arial"/>
          </a:endParaRPr>
        </a:p>
      </cdr:txBody>
    </cdr:sp>
  </cdr:relSizeAnchor>
</c:userShapes>
</file>

<file path=xl/drawings/drawing7.xml><?xml version="1.0" encoding="utf-8"?>
<xdr:wsDr xmlns:xdr="http://schemas.openxmlformats.org/drawingml/2006/spreadsheetDrawing" xmlns:a="http://schemas.openxmlformats.org/drawingml/2006/main">
  <xdr:absoluteAnchor>
    <xdr:pos x="0" y="0"/>
    <xdr:ext cx="9203028" cy="5607676"/>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0.215</cdr:x>
      <cdr:y>0</cdr:y>
    </cdr:from>
    <cdr:to>
      <cdr:x>0.55675</cdr:x>
      <cdr:y>0.076</cdr:y>
    </cdr:to>
    <cdr:sp macro="" textlink="Input!$C$11">
      <cdr:nvSpPr>
        <cdr:cNvPr id="428035" name="Text Box 3"/>
        <cdr:cNvSpPr txBox="1">
          <a:spLocks xmlns:a="http://schemas.openxmlformats.org/drawingml/2006/main" noChangeArrowheads="1" noTextEdit="1"/>
        </cdr:cNvSpPr>
      </cdr:nvSpPr>
      <cdr:spPr bwMode="auto">
        <a:xfrm xmlns:a="http://schemas.openxmlformats.org/drawingml/2006/main">
          <a:off x="1980295" y="0"/>
          <a:ext cx="3147748" cy="42710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0" bIns="27432" anchor="ctr" upright="1"/>
        <a:lstStyle xmlns:a="http://schemas.openxmlformats.org/drawingml/2006/main"/>
        <a:p xmlns:a="http://schemas.openxmlformats.org/drawingml/2006/main">
          <a:pPr algn="l" rtl="0">
            <a:defRPr sz="1000"/>
          </a:pPr>
          <a:fld id="{53CA4AC5-15F0-4D21-B868-ECC08C91D937}" type="TxLink">
            <a:rPr lang="en-AU" sz="1400" b="1" i="0" u="none" strike="noStrike" baseline="0">
              <a:solidFill>
                <a:srgbClr val="000000"/>
              </a:solidFill>
              <a:latin typeface="Arial"/>
              <a:cs typeface="Arial"/>
            </a:rPr>
            <a:pPr algn="l" rtl="0">
              <a:defRPr sz="1000"/>
            </a:pPr>
            <a:t>Acme Widgets</a:t>
          </a:fld>
          <a:endParaRPr lang="en-AU" sz="1400" b="1" i="0" u="none" strike="noStrike" baseline="0">
            <a:solidFill>
              <a:srgbClr val="000000"/>
            </a:solidFill>
            <a:latin typeface="Arial"/>
            <a:cs typeface="Arial"/>
          </a:endParaRPr>
        </a:p>
      </cdr:txBody>
    </cdr:sp>
  </cdr:relSizeAnchor>
</c:userShapes>
</file>

<file path=xl/drawings/drawing9.xml><?xml version="1.0" encoding="utf-8"?>
<xdr:wsDr xmlns:xdr="http://schemas.openxmlformats.org/drawingml/2006/spreadsheetDrawing" xmlns:a="http://schemas.openxmlformats.org/drawingml/2006/main">
  <xdr:absoluteAnchor>
    <xdr:pos x="0" y="0"/>
    <xdr:ext cx="9203028" cy="5607676"/>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c:userShapes xmlns:c="http://schemas.openxmlformats.org/drawingml/2006/chart">
  <cdr:relSizeAnchor xmlns:cdr="http://schemas.openxmlformats.org/drawingml/2006/chartDrawing">
    <cdr:from>
      <cdr:x>0.34875</cdr:x>
      <cdr:y>0</cdr:y>
    </cdr:from>
    <cdr:to>
      <cdr:x>0.5915</cdr:x>
      <cdr:y>0.074</cdr:y>
    </cdr:to>
    <cdr:sp macro="" textlink="Input!$C$11">
      <cdr:nvSpPr>
        <cdr:cNvPr id="451587" name="Text Box 3"/>
        <cdr:cNvSpPr txBox="1">
          <a:spLocks xmlns:a="http://schemas.openxmlformats.org/drawingml/2006/main" noChangeArrowheads="1" noTextEdit="1"/>
        </cdr:cNvSpPr>
      </cdr:nvSpPr>
      <cdr:spPr bwMode="auto">
        <a:xfrm xmlns:a="http://schemas.openxmlformats.org/drawingml/2006/main">
          <a:off x="3212223" y="0"/>
          <a:ext cx="2235891" cy="415862"/>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0" bIns="27432" anchor="ctr" upright="1"/>
        <a:lstStyle xmlns:a="http://schemas.openxmlformats.org/drawingml/2006/main"/>
        <a:p xmlns:a="http://schemas.openxmlformats.org/drawingml/2006/main">
          <a:pPr algn="l" rtl="0">
            <a:defRPr sz="1000"/>
          </a:pPr>
          <a:fld id="{ECA7E36D-DEC1-4826-93F4-9D1CED29C396}" type="TxLink">
            <a:rPr lang="en-AU" sz="1400" b="1" i="0" u="none" strike="noStrike" baseline="0">
              <a:solidFill>
                <a:srgbClr val="000000"/>
              </a:solidFill>
              <a:latin typeface="Arial"/>
              <a:cs typeface="Arial"/>
            </a:rPr>
            <a:pPr algn="l" rtl="0">
              <a:defRPr sz="1000"/>
            </a:pPr>
            <a:t>Acme Widgets</a:t>
          </a:fld>
          <a:endParaRPr lang="en-AU" sz="1400" b="1" i="0" u="none" strike="noStrike" baseline="0">
            <a:solidFill>
              <a:srgbClr val="000000"/>
            </a:solidFill>
            <a:latin typeface="Arial"/>
            <a:cs typeface="Arial"/>
          </a:endParaRPr>
        </a:p>
      </cdr:txBody>
    </cdr:sp>
  </cdr:relSizeAnchor>
</c:userShapes>
</file>

<file path=xl/drawings/drawing11.xml><?xml version="1.0" encoding="utf-8"?>
<xdr:wsDr xmlns:xdr="http://schemas.openxmlformats.org/drawingml/2006/spreadsheetDrawing" xmlns:a="http://schemas.openxmlformats.org/drawingml/2006/main">
  <xdr:absoluteAnchor>
    <xdr:pos x="0" y="0"/>
    <xdr:ext cx="9203028" cy="5607676"/>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c:userShapes xmlns:c="http://schemas.openxmlformats.org/drawingml/2006/chart">
  <cdr:relSizeAnchor xmlns:cdr="http://schemas.openxmlformats.org/drawingml/2006/chartDrawing">
    <cdr:from>
      <cdr:x>0.3025</cdr:x>
      <cdr:y>0</cdr:y>
    </cdr:from>
    <cdr:to>
      <cdr:x>0.56875</cdr:x>
      <cdr:y>0.079</cdr:y>
    </cdr:to>
    <cdr:sp macro="" textlink="Input!$C$11">
      <cdr:nvSpPr>
        <cdr:cNvPr id="498691" name="Text Box 3"/>
        <cdr:cNvSpPr txBox="1">
          <a:spLocks xmlns:a="http://schemas.openxmlformats.org/drawingml/2006/main" noChangeArrowheads="1" noTextEdit="1"/>
        </cdr:cNvSpPr>
      </cdr:nvSpPr>
      <cdr:spPr bwMode="auto">
        <a:xfrm xmlns:a="http://schemas.openxmlformats.org/drawingml/2006/main">
          <a:off x="2786229" y="0"/>
          <a:ext cx="2452342" cy="443960"/>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0" bIns="27432" anchor="ctr" upright="1"/>
        <a:lstStyle xmlns:a="http://schemas.openxmlformats.org/drawingml/2006/main"/>
        <a:p xmlns:a="http://schemas.openxmlformats.org/drawingml/2006/main">
          <a:pPr algn="l" rtl="0">
            <a:defRPr sz="1000"/>
          </a:pPr>
          <a:fld id="{E6A96490-9542-4D4D-A652-153D03EE642A}" type="TxLink">
            <a:rPr lang="en-AU" sz="1400" b="1" i="0" u="none" strike="noStrike" baseline="0">
              <a:solidFill>
                <a:srgbClr val="000000"/>
              </a:solidFill>
              <a:latin typeface="Arial"/>
              <a:cs typeface="Arial"/>
            </a:rPr>
            <a:pPr algn="l" rtl="0">
              <a:defRPr sz="1000"/>
            </a:pPr>
            <a:t>Acme Widgets</a:t>
          </a:fld>
          <a:endParaRPr lang="en-AU" sz="1400" b="1" i="0" u="none" strike="noStrike" baseline="0">
            <a:solidFill>
              <a:srgbClr val="000000"/>
            </a:solidFill>
            <a:latin typeface="Arial"/>
            <a:cs typeface="Arial"/>
          </a:endParaRPr>
        </a:p>
      </cdr:txBody>
    </cdr:sp>
  </cdr:relSizeAnchor>
</c:userShapes>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6</xdr:row>
          <xdr:rowOff>114300</xdr:rowOff>
        </xdr:from>
        <xdr:to>
          <xdr:col>1</xdr:col>
          <xdr:colOff>504825</xdr:colOff>
          <xdr:row>8</xdr:row>
          <xdr:rowOff>47625</xdr:rowOff>
        </xdr:to>
        <xdr:sp macro="" textlink="">
          <xdr:nvSpPr>
            <xdr:cNvPr id="475139" name="BasRevButton" hidden="1">
              <a:extLst>
                <a:ext uri="{63B3BB69-23CF-44E3-9099-C40C66FF867C}">
                  <a14:compatExt spid="_x0000_s475139"/>
                </a:ext>
                <a:ext uri="{FF2B5EF4-FFF2-40B4-BE49-F238E27FC236}">
                  <a16:creationId xmlns:a16="http://schemas.microsoft.com/office/drawing/2014/main" id="{00000000-0008-0000-0D00-0000034007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114300</xdr:rowOff>
        </xdr:from>
        <xdr:to>
          <xdr:col>1</xdr:col>
          <xdr:colOff>495300</xdr:colOff>
          <xdr:row>10</xdr:row>
          <xdr:rowOff>47625</xdr:rowOff>
        </xdr:to>
        <xdr:sp macro="" textlink="">
          <xdr:nvSpPr>
            <xdr:cNvPr id="475140" name="GroRevButton" hidden="1">
              <a:extLst>
                <a:ext uri="{63B3BB69-23CF-44E3-9099-C40C66FF867C}">
                  <a14:compatExt spid="_x0000_s475140"/>
                </a:ext>
                <a:ext uri="{FF2B5EF4-FFF2-40B4-BE49-F238E27FC236}">
                  <a16:creationId xmlns:a16="http://schemas.microsoft.com/office/drawing/2014/main" id="{00000000-0008-0000-0D00-0000044007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xdr:row>
          <xdr:rowOff>104775</xdr:rowOff>
        </xdr:from>
        <xdr:to>
          <xdr:col>1</xdr:col>
          <xdr:colOff>504825</xdr:colOff>
          <xdr:row>21</xdr:row>
          <xdr:rowOff>38100</xdr:rowOff>
        </xdr:to>
        <xdr:sp macro="" textlink="">
          <xdr:nvSpPr>
            <xdr:cNvPr id="475141" name="LabOwnCOSButton" hidden="1">
              <a:extLst>
                <a:ext uri="{63B3BB69-23CF-44E3-9099-C40C66FF867C}">
                  <a14:compatExt spid="_x0000_s475141"/>
                </a:ext>
                <a:ext uri="{FF2B5EF4-FFF2-40B4-BE49-F238E27FC236}">
                  <a16:creationId xmlns:a16="http://schemas.microsoft.com/office/drawing/2014/main" id="{00000000-0008-0000-0D00-0000054007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xdr:row>
          <xdr:rowOff>104775</xdr:rowOff>
        </xdr:from>
        <xdr:to>
          <xdr:col>1</xdr:col>
          <xdr:colOff>504825</xdr:colOff>
          <xdr:row>17</xdr:row>
          <xdr:rowOff>38100</xdr:rowOff>
        </xdr:to>
        <xdr:sp macro="" textlink="">
          <xdr:nvSpPr>
            <xdr:cNvPr id="475142" name="MatSupButton" hidden="1">
              <a:extLst>
                <a:ext uri="{63B3BB69-23CF-44E3-9099-C40C66FF867C}">
                  <a14:compatExt spid="_x0000_s475142"/>
                </a:ext>
                <a:ext uri="{FF2B5EF4-FFF2-40B4-BE49-F238E27FC236}">
                  <a16:creationId xmlns:a16="http://schemas.microsoft.com/office/drawing/2014/main" id="{00000000-0008-0000-0D00-0000064007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xdr:row>
          <xdr:rowOff>104775</xdr:rowOff>
        </xdr:from>
        <xdr:to>
          <xdr:col>1</xdr:col>
          <xdr:colOff>504825</xdr:colOff>
          <xdr:row>19</xdr:row>
          <xdr:rowOff>38100</xdr:rowOff>
        </xdr:to>
        <xdr:sp macro="" textlink="">
          <xdr:nvSpPr>
            <xdr:cNvPr id="475143" name="LabExOwnCOSButton" hidden="1">
              <a:extLst>
                <a:ext uri="{63B3BB69-23CF-44E3-9099-C40C66FF867C}">
                  <a14:compatExt spid="_x0000_s475143"/>
                </a:ext>
                <a:ext uri="{FF2B5EF4-FFF2-40B4-BE49-F238E27FC236}">
                  <a16:creationId xmlns:a16="http://schemas.microsoft.com/office/drawing/2014/main" id="{00000000-0008-0000-0D00-0000074007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xdr:row>
          <xdr:rowOff>38100</xdr:rowOff>
        </xdr:from>
        <xdr:to>
          <xdr:col>1</xdr:col>
          <xdr:colOff>504825</xdr:colOff>
          <xdr:row>5</xdr:row>
          <xdr:rowOff>133350</xdr:rowOff>
        </xdr:to>
        <xdr:sp macro="" textlink="">
          <xdr:nvSpPr>
            <xdr:cNvPr id="475144" name="YeaMonButton" hidden="1">
              <a:extLst>
                <a:ext uri="{63B3BB69-23CF-44E3-9099-C40C66FF867C}">
                  <a14:compatExt spid="_x0000_s475144"/>
                </a:ext>
                <a:ext uri="{FF2B5EF4-FFF2-40B4-BE49-F238E27FC236}">
                  <a16:creationId xmlns:a16="http://schemas.microsoft.com/office/drawing/2014/main" id="{00000000-0008-0000-0D00-0000084007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37</xdr:row>
          <xdr:rowOff>104775</xdr:rowOff>
        </xdr:from>
        <xdr:to>
          <xdr:col>1</xdr:col>
          <xdr:colOff>504825</xdr:colOff>
          <xdr:row>39</xdr:row>
          <xdr:rowOff>38100</xdr:rowOff>
        </xdr:to>
        <xdr:sp macro="" textlink="">
          <xdr:nvSpPr>
            <xdr:cNvPr id="475145" name="LabExOwnOHButton" hidden="1">
              <a:extLst>
                <a:ext uri="{63B3BB69-23CF-44E3-9099-C40C66FF867C}">
                  <a14:compatExt spid="_x0000_s475145"/>
                </a:ext>
                <a:ext uri="{FF2B5EF4-FFF2-40B4-BE49-F238E27FC236}">
                  <a16:creationId xmlns:a16="http://schemas.microsoft.com/office/drawing/2014/main" id="{00000000-0008-0000-0D00-0000094007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35</xdr:row>
          <xdr:rowOff>104775</xdr:rowOff>
        </xdr:from>
        <xdr:to>
          <xdr:col>1</xdr:col>
          <xdr:colOff>504825</xdr:colOff>
          <xdr:row>37</xdr:row>
          <xdr:rowOff>38100</xdr:rowOff>
        </xdr:to>
        <xdr:sp macro="" textlink="">
          <xdr:nvSpPr>
            <xdr:cNvPr id="475146" name="AdmButton" hidden="1">
              <a:extLst>
                <a:ext uri="{63B3BB69-23CF-44E3-9099-C40C66FF867C}">
                  <a14:compatExt spid="_x0000_s475146"/>
                </a:ext>
                <a:ext uri="{FF2B5EF4-FFF2-40B4-BE49-F238E27FC236}">
                  <a16:creationId xmlns:a16="http://schemas.microsoft.com/office/drawing/2014/main" id="{00000000-0008-0000-0D00-00000A4007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33</xdr:row>
          <xdr:rowOff>95250</xdr:rowOff>
        </xdr:from>
        <xdr:to>
          <xdr:col>1</xdr:col>
          <xdr:colOff>504825</xdr:colOff>
          <xdr:row>35</xdr:row>
          <xdr:rowOff>28575</xdr:rowOff>
        </xdr:to>
        <xdr:sp macro="" textlink="">
          <xdr:nvSpPr>
            <xdr:cNvPr id="475147" name="LocButton" hidden="1">
              <a:extLst>
                <a:ext uri="{63B3BB69-23CF-44E3-9099-C40C66FF867C}">
                  <a14:compatExt spid="_x0000_s475147"/>
                </a:ext>
                <a:ext uri="{FF2B5EF4-FFF2-40B4-BE49-F238E27FC236}">
                  <a16:creationId xmlns:a16="http://schemas.microsoft.com/office/drawing/2014/main" id="{00000000-0008-0000-0D00-00000B4007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xdr:row>
          <xdr:rowOff>104775</xdr:rowOff>
        </xdr:from>
        <xdr:to>
          <xdr:col>1</xdr:col>
          <xdr:colOff>504825</xdr:colOff>
          <xdr:row>25</xdr:row>
          <xdr:rowOff>38100</xdr:rowOff>
        </xdr:to>
        <xdr:sp macro="" textlink="">
          <xdr:nvSpPr>
            <xdr:cNvPr id="475148" name="MarButton" hidden="1">
              <a:extLst>
                <a:ext uri="{63B3BB69-23CF-44E3-9099-C40C66FF867C}">
                  <a14:compatExt spid="_x0000_s475148"/>
                </a:ext>
                <a:ext uri="{FF2B5EF4-FFF2-40B4-BE49-F238E27FC236}">
                  <a16:creationId xmlns:a16="http://schemas.microsoft.com/office/drawing/2014/main" id="{00000000-0008-0000-0D00-00000C4007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xdr:row>
          <xdr:rowOff>104775</xdr:rowOff>
        </xdr:from>
        <xdr:to>
          <xdr:col>1</xdr:col>
          <xdr:colOff>504825</xdr:colOff>
          <xdr:row>23</xdr:row>
          <xdr:rowOff>38100</xdr:rowOff>
        </xdr:to>
        <xdr:sp macro="" textlink="">
          <xdr:nvSpPr>
            <xdr:cNvPr id="475149" name="DisButton" hidden="1">
              <a:extLst>
                <a:ext uri="{63B3BB69-23CF-44E3-9099-C40C66FF867C}">
                  <a14:compatExt spid="_x0000_s475149"/>
                </a:ext>
                <a:ext uri="{FF2B5EF4-FFF2-40B4-BE49-F238E27FC236}">
                  <a16:creationId xmlns:a16="http://schemas.microsoft.com/office/drawing/2014/main" id="{00000000-0008-0000-0D00-00000D4007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xdr:row>
          <xdr:rowOff>104775</xdr:rowOff>
        </xdr:from>
        <xdr:to>
          <xdr:col>1</xdr:col>
          <xdr:colOff>504825</xdr:colOff>
          <xdr:row>27</xdr:row>
          <xdr:rowOff>38100</xdr:rowOff>
        </xdr:to>
        <xdr:sp macro="" textlink="">
          <xdr:nvSpPr>
            <xdr:cNvPr id="475150" name="OthCOSButton" hidden="1">
              <a:extLst>
                <a:ext uri="{63B3BB69-23CF-44E3-9099-C40C66FF867C}">
                  <a14:compatExt spid="_x0000_s475150"/>
                </a:ext>
                <a:ext uri="{FF2B5EF4-FFF2-40B4-BE49-F238E27FC236}">
                  <a16:creationId xmlns:a16="http://schemas.microsoft.com/office/drawing/2014/main" id="{00000000-0008-0000-0D00-00000E4007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39</xdr:row>
          <xdr:rowOff>104775</xdr:rowOff>
        </xdr:from>
        <xdr:to>
          <xdr:col>1</xdr:col>
          <xdr:colOff>504825</xdr:colOff>
          <xdr:row>41</xdr:row>
          <xdr:rowOff>38100</xdr:rowOff>
        </xdr:to>
        <xdr:sp macro="" textlink="">
          <xdr:nvSpPr>
            <xdr:cNvPr id="475151" name="LabOwnOHButton" hidden="1">
              <a:extLst>
                <a:ext uri="{63B3BB69-23CF-44E3-9099-C40C66FF867C}">
                  <a14:compatExt spid="_x0000_s475151"/>
                </a:ext>
                <a:ext uri="{FF2B5EF4-FFF2-40B4-BE49-F238E27FC236}">
                  <a16:creationId xmlns:a16="http://schemas.microsoft.com/office/drawing/2014/main" id="{00000000-0008-0000-0D00-00000F4007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41</xdr:row>
          <xdr:rowOff>104775</xdr:rowOff>
        </xdr:from>
        <xdr:to>
          <xdr:col>1</xdr:col>
          <xdr:colOff>504825</xdr:colOff>
          <xdr:row>43</xdr:row>
          <xdr:rowOff>38100</xdr:rowOff>
        </xdr:to>
        <xdr:sp macro="" textlink="">
          <xdr:nvSpPr>
            <xdr:cNvPr id="475152" name="IntButton" hidden="1">
              <a:extLst>
                <a:ext uri="{63B3BB69-23CF-44E3-9099-C40C66FF867C}">
                  <a14:compatExt spid="_x0000_s475152"/>
                </a:ext>
                <a:ext uri="{FF2B5EF4-FFF2-40B4-BE49-F238E27FC236}">
                  <a16:creationId xmlns:a16="http://schemas.microsoft.com/office/drawing/2014/main" id="{00000000-0008-0000-0D00-0000104007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43</xdr:row>
          <xdr:rowOff>104775</xdr:rowOff>
        </xdr:from>
        <xdr:to>
          <xdr:col>1</xdr:col>
          <xdr:colOff>504825</xdr:colOff>
          <xdr:row>45</xdr:row>
          <xdr:rowOff>38100</xdr:rowOff>
        </xdr:to>
        <xdr:sp macro="" textlink="">
          <xdr:nvSpPr>
            <xdr:cNvPr id="475153" name="OtherOHButton" hidden="1">
              <a:extLst>
                <a:ext uri="{63B3BB69-23CF-44E3-9099-C40C66FF867C}">
                  <a14:compatExt spid="_x0000_s475153"/>
                </a:ext>
                <a:ext uri="{FF2B5EF4-FFF2-40B4-BE49-F238E27FC236}">
                  <a16:creationId xmlns:a16="http://schemas.microsoft.com/office/drawing/2014/main" id="{00000000-0008-0000-0D00-0000114007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56</xdr:row>
          <xdr:rowOff>66675</xdr:rowOff>
        </xdr:from>
        <xdr:to>
          <xdr:col>1</xdr:col>
          <xdr:colOff>504825</xdr:colOff>
          <xdr:row>59</xdr:row>
          <xdr:rowOff>133350</xdr:rowOff>
        </xdr:to>
        <xdr:sp macro="" textlink="">
          <xdr:nvSpPr>
            <xdr:cNvPr id="475154" name="UpdAllButton" hidden="1">
              <a:extLst>
                <a:ext uri="{63B3BB69-23CF-44E3-9099-C40C66FF867C}">
                  <a14:compatExt spid="_x0000_s475154"/>
                </a:ext>
                <a:ext uri="{FF2B5EF4-FFF2-40B4-BE49-F238E27FC236}">
                  <a16:creationId xmlns:a16="http://schemas.microsoft.com/office/drawing/2014/main" id="{00000000-0008-0000-0D00-0000124007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54</xdr:row>
          <xdr:rowOff>114300</xdr:rowOff>
        </xdr:from>
        <xdr:to>
          <xdr:col>1</xdr:col>
          <xdr:colOff>504825</xdr:colOff>
          <xdr:row>56</xdr:row>
          <xdr:rowOff>47625</xdr:rowOff>
        </xdr:to>
        <xdr:sp macro="" textlink="">
          <xdr:nvSpPr>
            <xdr:cNvPr id="475155" name="DepAllButton" hidden="1">
              <a:extLst>
                <a:ext uri="{63B3BB69-23CF-44E3-9099-C40C66FF867C}">
                  <a14:compatExt spid="_x0000_s475155"/>
                </a:ext>
                <a:ext uri="{FF2B5EF4-FFF2-40B4-BE49-F238E27FC236}">
                  <a16:creationId xmlns:a16="http://schemas.microsoft.com/office/drawing/2014/main" id="{00000000-0008-0000-0D00-0000134007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28575</xdr:rowOff>
        </xdr:from>
        <xdr:to>
          <xdr:col>1</xdr:col>
          <xdr:colOff>504825</xdr:colOff>
          <xdr:row>3</xdr:row>
          <xdr:rowOff>276225</xdr:rowOff>
        </xdr:to>
        <xdr:sp macro="" textlink="">
          <xdr:nvSpPr>
            <xdr:cNvPr id="475156" name="UpdAllButton2" hidden="1">
              <a:extLst>
                <a:ext uri="{63B3BB69-23CF-44E3-9099-C40C66FF867C}">
                  <a14:compatExt spid="_x0000_s475156"/>
                </a:ext>
                <a:ext uri="{FF2B5EF4-FFF2-40B4-BE49-F238E27FC236}">
                  <a16:creationId xmlns:a16="http://schemas.microsoft.com/office/drawing/2014/main" id="{00000000-0008-0000-0D00-0000144007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absoluteAnchor>
    <xdr:pos x="0" y="0"/>
    <xdr:ext cx="9203028" cy="5607676"/>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c:userShapes xmlns:c="http://schemas.openxmlformats.org/drawingml/2006/chart">
  <cdr:relSizeAnchor xmlns:cdr="http://schemas.openxmlformats.org/drawingml/2006/chartDrawing">
    <cdr:from>
      <cdr:x>0.25025</cdr:x>
      <cdr:y>0</cdr:y>
    </cdr:from>
    <cdr:to>
      <cdr:x>0.5165</cdr:x>
      <cdr:y>0.079</cdr:y>
    </cdr:to>
    <cdr:sp macro="" textlink="Input!$C$11">
      <cdr:nvSpPr>
        <cdr:cNvPr id="476163" name="Text Box 3"/>
        <cdr:cNvSpPr txBox="1">
          <a:spLocks xmlns:a="http://schemas.openxmlformats.org/drawingml/2006/main" noChangeArrowheads="1" noTextEdit="1"/>
        </cdr:cNvSpPr>
      </cdr:nvSpPr>
      <cdr:spPr bwMode="auto">
        <a:xfrm xmlns:a="http://schemas.openxmlformats.org/drawingml/2006/main">
          <a:off x="2304971" y="0"/>
          <a:ext cx="2452343" cy="443960"/>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0" bIns="27432" anchor="ctr" upright="1"/>
        <a:lstStyle xmlns:a="http://schemas.openxmlformats.org/drawingml/2006/main"/>
        <a:p xmlns:a="http://schemas.openxmlformats.org/drawingml/2006/main">
          <a:pPr algn="l" rtl="0">
            <a:defRPr sz="1000"/>
          </a:pPr>
          <a:fld id="{48213D33-1987-4360-835C-B75FA7A48A00}" type="TxLink">
            <a:rPr lang="en-AU" sz="1400" b="1" i="0" u="none" strike="noStrike" baseline="0">
              <a:solidFill>
                <a:srgbClr val="000000"/>
              </a:solidFill>
              <a:latin typeface="Arial"/>
              <a:cs typeface="Arial"/>
            </a:rPr>
            <a:pPr algn="l" rtl="0">
              <a:defRPr sz="1000"/>
            </a:pPr>
            <a:t>Acme Widgets</a:t>
          </a:fld>
          <a:endParaRPr lang="en-AU" sz="1400" b="1" i="0" u="none" strike="noStrike" baseline="0">
            <a:solidFill>
              <a:srgbClr val="000000"/>
            </a:solidFill>
            <a:latin typeface="Arial"/>
            <a:cs typeface="Arial"/>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bizpep.com/forecastbudget.html?display=license" TargetMode="External"/><Relationship Id="rId7" Type="http://schemas.openxmlformats.org/officeDocument/2006/relationships/drawing" Target="../drawings/drawing1.xml"/><Relationship Id="rId2" Type="http://schemas.openxmlformats.org/officeDocument/2006/relationships/hyperlink" Target="https://bizpep.com/buy.html?i=qm" TargetMode="External"/><Relationship Id="rId1" Type="http://schemas.openxmlformats.org/officeDocument/2006/relationships/hyperlink" Target="https://bizpep.com/" TargetMode="External"/><Relationship Id="rId6" Type="http://schemas.openxmlformats.org/officeDocument/2006/relationships/printerSettings" Target="../printerSettings/printerSettings2.bin"/><Relationship Id="rId5" Type="http://schemas.openxmlformats.org/officeDocument/2006/relationships/hyperlink" Target="https://bizpep.com/forecastbudget.html?display=help" TargetMode="External"/><Relationship Id="rId4" Type="http://schemas.openxmlformats.org/officeDocument/2006/relationships/hyperlink" Target="https://bizpep.com/shiftscheduler.html?display=help"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2.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mments" Target="../comments1.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3" Type="http://schemas.openxmlformats.org/officeDocument/2006/relationships/image" Target="../media/image17.emf"/><Relationship Id="rId18" Type="http://schemas.openxmlformats.org/officeDocument/2006/relationships/control" Target="../activeX/activeX20.xml"/><Relationship Id="rId26" Type="http://schemas.openxmlformats.org/officeDocument/2006/relationships/control" Target="../activeX/activeX24.xml"/><Relationship Id="rId39" Type="http://schemas.openxmlformats.org/officeDocument/2006/relationships/image" Target="../media/image30.emf"/><Relationship Id="rId21" Type="http://schemas.openxmlformats.org/officeDocument/2006/relationships/image" Target="../media/image21.emf"/><Relationship Id="rId34" Type="http://schemas.openxmlformats.org/officeDocument/2006/relationships/control" Target="../activeX/activeX28.xml"/><Relationship Id="rId7" Type="http://schemas.openxmlformats.org/officeDocument/2006/relationships/image" Target="../media/image14.emf"/><Relationship Id="rId12" Type="http://schemas.openxmlformats.org/officeDocument/2006/relationships/control" Target="../activeX/activeX17.xml"/><Relationship Id="rId17" Type="http://schemas.openxmlformats.org/officeDocument/2006/relationships/image" Target="../media/image19.emf"/><Relationship Id="rId25" Type="http://schemas.openxmlformats.org/officeDocument/2006/relationships/image" Target="../media/image23.emf"/><Relationship Id="rId33" Type="http://schemas.openxmlformats.org/officeDocument/2006/relationships/image" Target="../media/image27.emf"/><Relationship Id="rId38" Type="http://schemas.openxmlformats.org/officeDocument/2006/relationships/control" Target="../activeX/activeX30.xml"/><Relationship Id="rId2" Type="http://schemas.openxmlformats.org/officeDocument/2006/relationships/drawing" Target="../drawings/drawing13.xml"/><Relationship Id="rId16" Type="http://schemas.openxmlformats.org/officeDocument/2006/relationships/control" Target="../activeX/activeX19.xml"/><Relationship Id="rId20" Type="http://schemas.openxmlformats.org/officeDocument/2006/relationships/control" Target="../activeX/activeX21.xml"/><Relationship Id="rId29" Type="http://schemas.openxmlformats.org/officeDocument/2006/relationships/image" Target="../media/image25.emf"/><Relationship Id="rId1" Type="http://schemas.openxmlformats.org/officeDocument/2006/relationships/printerSettings" Target="../printerSettings/printerSettings14.bin"/><Relationship Id="rId6" Type="http://schemas.openxmlformats.org/officeDocument/2006/relationships/control" Target="../activeX/activeX14.xml"/><Relationship Id="rId11" Type="http://schemas.openxmlformats.org/officeDocument/2006/relationships/image" Target="../media/image16.emf"/><Relationship Id="rId24" Type="http://schemas.openxmlformats.org/officeDocument/2006/relationships/control" Target="../activeX/activeX23.xml"/><Relationship Id="rId32" Type="http://schemas.openxmlformats.org/officeDocument/2006/relationships/control" Target="../activeX/activeX27.xml"/><Relationship Id="rId37" Type="http://schemas.openxmlformats.org/officeDocument/2006/relationships/image" Target="../media/image29.emf"/><Relationship Id="rId40" Type="http://schemas.openxmlformats.org/officeDocument/2006/relationships/comments" Target="../comments4.xml"/><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2.emf"/><Relationship Id="rId28" Type="http://schemas.openxmlformats.org/officeDocument/2006/relationships/control" Target="../activeX/activeX25.xml"/><Relationship Id="rId36" Type="http://schemas.openxmlformats.org/officeDocument/2006/relationships/control" Target="../activeX/activeX29.xml"/><Relationship Id="rId10" Type="http://schemas.openxmlformats.org/officeDocument/2006/relationships/control" Target="../activeX/activeX16.xml"/><Relationship Id="rId19" Type="http://schemas.openxmlformats.org/officeDocument/2006/relationships/image" Target="../media/image20.emf"/><Relationship Id="rId31" Type="http://schemas.openxmlformats.org/officeDocument/2006/relationships/image" Target="../media/image26.emf"/><Relationship Id="rId4" Type="http://schemas.openxmlformats.org/officeDocument/2006/relationships/control" Target="../activeX/activeX13.xml"/><Relationship Id="rId9" Type="http://schemas.openxmlformats.org/officeDocument/2006/relationships/image" Target="../media/image15.emf"/><Relationship Id="rId14" Type="http://schemas.openxmlformats.org/officeDocument/2006/relationships/control" Target="../activeX/activeX18.xml"/><Relationship Id="rId22" Type="http://schemas.openxmlformats.org/officeDocument/2006/relationships/control" Target="../activeX/activeX22.xml"/><Relationship Id="rId27" Type="http://schemas.openxmlformats.org/officeDocument/2006/relationships/image" Target="../media/image24.emf"/><Relationship Id="rId30" Type="http://schemas.openxmlformats.org/officeDocument/2006/relationships/control" Target="../activeX/activeX26.xml"/><Relationship Id="rId35" Type="http://schemas.openxmlformats.org/officeDocument/2006/relationships/image" Target="../media/image28.emf"/><Relationship Id="rId8" Type="http://schemas.openxmlformats.org/officeDocument/2006/relationships/control" Target="../activeX/activeX15.xml"/><Relationship Id="rId3"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DB42E-1450-4DC3-90A7-DB6DA9D8CD39}">
  <sheetPr codeName="Sheet15">
    <pageSetUpPr fitToPage="1"/>
  </sheetPr>
  <dimension ref="A1:C15"/>
  <sheetViews>
    <sheetView showGridLines="0" tabSelected="1" defaultGridColor="0" colorId="9" zoomScaleNormal="100" workbookViewId="0">
      <selection activeCell="B1" sqref="B1"/>
    </sheetView>
  </sheetViews>
  <sheetFormatPr defaultRowHeight="12.75" x14ac:dyDescent="0.2"/>
  <cols>
    <col min="1" max="1" width="9.5703125" style="449" customWidth="1"/>
    <col min="2" max="2" width="89.5703125" style="449" customWidth="1"/>
    <col min="3" max="16384" width="9.140625" style="440"/>
  </cols>
  <sheetData>
    <row r="1" spans="2:3" ht="18" x14ac:dyDescent="0.25">
      <c r="B1" s="438" t="str">
        <f>"Macros Required - "&amp;title</f>
        <v>Macros Required - Forecast Budget</v>
      </c>
      <c r="C1" s="439"/>
    </row>
    <row r="2" spans="2:3" ht="12.75" customHeight="1" x14ac:dyDescent="0.25">
      <c r="B2" s="439"/>
      <c r="C2" s="439"/>
    </row>
    <row r="3" spans="2:3" x14ac:dyDescent="0.2">
      <c r="B3" s="441" t="s">
        <v>212</v>
      </c>
    </row>
    <row r="4" spans="2:3" x14ac:dyDescent="0.2">
      <c r="B4" s="441"/>
    </row>
    <row r="5" spans="2:3" x14ac:dyDescent="0.2">
      <c r="B5" s="441" t="s">
        <v>213</v>
      </c>
    </row>
    <row r="7" spans="2:3" x14ac:dyDescent="0.2">
      <c r="B7" s="427" t="s">
        <v>211</v>
      </c>
      <c r="C7" s="427"/>
    </row>
    <row r="8" spans="2:3" ht="18" x14ac:dyDescent="0.2">
      <c r="B8" s="442"/>
    </row>
    <row r="9" spans="2:3" ht="18" x14ac:dyDescent="0.2">
      <c r="B9" s="443"/>
    </row>
    <row r="10" spans="2:3" ht="18" x14ac:dyDescent="0.2">
      <c r="B10" s="444"/>
    </row>
    <row r="11" spans="2:3" ht="18" x14ac:dyDescent="0.2">
      <c r="B11" s="445"/>
    </row>
    <row r="12" spans="2:3" ht="18" x14ac:dyDescent="0.2">
      <c r="B12" s="446"/>
    </row>
    <row r="13" spans="2:3" ht="18" x14ac:dyDescent="0.2">
      <c r="B13" s="447"/>
    </row>
    <row r="14" spans="2:3" ht="18" x14ac:dyDescent="0.2">
      <c r="B14" s="446"/>
    </row>
    <row r="15" spans="2:3" x14ac:dyDescent="0.2">
      <c r="B15" s="448"/>
    </row>
  </sheetData>
  <sheetProtection algorithmName="SHA-512" hashValue="wvWqpjyycIpZegWt0snv5Z4oEMvz0bFpKz0AGAbzPuyBpO3+4y5fOrOC1f7Drk7LDmJqcvreDOnbv2Wb8JaR5Q==" saltValue="rroZoMJ2hI4lHwNrbzj8Bg==" spinCount="100000" sheet="1" objects="1" scenarios="1"/>
  <pageMargins left="0.75" right="0.75" top="1" bottom="1" header="0.5" footer="0.5"/>
  <pageSetup scale="90" orientation="portrait" horizontalDpi="360" vertic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76523-754F-4ACB-8C05-F0438280E49A}">
  <sheetPr codeName="Sheet13"/>
  <dimension ref="B1:J107"/>
  <sheetViews>
    <sheetView showGridLines="0" workbookViewId="0"/>
  </sheetViews>
  <sheetFormatPr defaultRowHeight="12.75" x14ac:dyDescent="0.2"/>
  <cols>
    <col min="1" max="1" width="9.140625" style="427"/>
    <col min="2" max="2" width="30.7109375" style="435" customWidth="1"/>
    <col min="3" max="3" width="60.7109375" style="437" customWidth="1"/>
    <col min="4" max="4" width="9.140625" style="427"/>
    <col min="5" max="5" width="9.28515625" style="427" bestFit="1" customWidth="1"/>
    <col min="6" max="6" width="12.7109375" style="427" bestFit="1" customWidth="1"/>
    <col min="7" max="8" width="9.28515625" style="427" bestFit="1" customWidth="1"/>
    <col min="9" max="16384" width="9.140625" style="427"/>
  </cols>
  <sheetData>
    <row r="1" spans="2:10" ht="18" x14ac:dyDescent="0.25">
      <c r="B1" s="473" t="s">
        <v>214</v>
      </c>
      <c r="C1" s="473"/>
    </row>
    <row r="2" spans="2:10" ht="12.75" customHeight="1" x14ac:dyDescent="0.25">
      <c r="B2" s="473"/>
      <c r="C2" s="473"/>
    </row>
    <row r="3" spans="2:10" x14ac:dyDescent="0.2">
      <c r="B3" s="472" t="s">
        <v>221</v>
      </c>
      <c r="C3" s="472"/>
    </row>
    <row r="4" spans="2:10" x14ac:dyDescent="0.2">
      <c r="B4" s="469"/>
      <c r="C4" s="469"/>
    </row>
    <row r="5" spans="2:10" ht="55.5" customHeight="1" x14ac:dyDescent="0.2">
      <c r="B5" s="474" t="s">
        <v>203</v>
      </c>
      <c r="C5" s="474"/>
    </row>
    <row r="6" spans="2:10" x14ac:dyDescent="0.2">
      <c r="B6" s="469"/>
      <c r="C6" s="469"/>
    </row>
    <row r="7" spans="2:10" x14ac:dyDescent="0.2">
      <c r="B7" s="468" t="s">
        <v>204</v>
      </c>
      <c r="C7" s="467"/>
    </row>
    <row r="8" spans="2:10" x14ac:dyDescent="0.2">
      <c r="B8" s="469" t="s">
        <v>205</v>
      </c>
      <c r="C8" s="469"/>
    </row>
    <row r="9" spans="2:10" x14ac:dyDescent="0.2">
      <c r="B9" s="470" t="s">
        <v>206</v>
      </c>
      <c r="C9" s="470"/>
      <c r="D9" s="428"/>
      <c r="E9" s="428"/>
      <c r="F9" s="428"/>
      <c r="G9" s="428"/>
      <c r="H9" s="428"/>
      <c r="I9" s="428"/>
      <c r="J9" s="428"/>
    </row>
    <row r="10" spans="2:10" x14ac:dyDescent="0.2">
      <c r="B10" s="469"/>
      <c r="C10" s="469"/>
    </row>
    <row r="11" spans="2:10" x14ac:dyDescent="0.2">
      <c r="B11" s="467" t="str">
        <f ca="1">IF(Scratch!B55=TRUE,"Current license subscriptions can be managed directly from your PayPal account.","In evaluation mode functionality is restriced.")</f>
        <v>In evaluation mode functionality is restriced.</v>
      </c>
      <c r="C11" s="467"/>
    </row>
    <row r="12" spans="2:10" x14ac:dyDescent="0.2">
      <c r="B12" s="471" t="str">
        <f ca="1">IF(Scratch!B55=TRUE,"On renewal new License Details will be emailed. You can purchase at new license at:","To fully enable this application please purchase a license at:")</f>
        <v>To fully enable this application please purchase a license at:</v>
      </c>
      <c r="C12" s="471"/>
    </row>
    <row r="13" spans="2:10" x14ac:dyDescent="0.2">
      <c r="B13" s="472" t="s">
        <v>216</v>
      </c>
      <c r="C13" s="472"/>
    </row>
    <row r="14" spans="2:10" x14ac:dyDescent="0.2">
      <c r="B14" s="471" t="str">
        <f ca="1">IF(Scratch!B55=TRUE,"Current license details fully enable your application","License Details are sent by email, on reciept input license details to fully enable your application.")</f>
        <v>License Details are sent by email, on reciept input license details to fully enable your application.</v>
      </c>
      <c r="C14" s="471"/>
    </row>
    <row r="15" spans="2:10" x14ac:dyDescent="0.2">
      <c r="B15" s="468"/>
      <c r="C15" s="468"/>
    </row>
    <row r="16" spans="2:10" x14ac:dyDescent="0.2">
      <c r="B16" s="468"/>
      <c r="C16" s="468"/>
    </row>
    <row r="17" spans="2:4" x14ac:dyDescent="0.2">
      <c r="B17" s="429" t="s">
        <v>207</v>
      </c>
      <c r="C17" s="430"/>
      <c r="D17" s="431"/>
    </row>
    <row r="18" spans="2:4" x14ac:dyDescent="0.2">
      <c r="B18" s="432" t="s">
        <v>208</v>
      </c>
      <c r="C18" s="433"/>
      <c r="D18" s="431"/>
    </row>
    <row r="19" spans="2:4" x14ac:dyDescent="0.2">
      <c r="B19" s="432" t="s">
        <v>209</v>
      </c>
      <c r="C19" s="434"/>
      <c r="D19" s="431"/>
    </row>
    <row r="20" spans="2:4" x14ac:dyDescent="0.2">
      <c r="B20" s="435" t="s">
        <v>210</v>
      </c>
      <c r="C20" s="436" t="str">
        <f ca="1">IF(Scratch!B55=TRUE,Scratch!C55,"Not Licensed, for Evaluation Only.")</f>
        <v>Not Licensed, for Evaluation Only.</v>
      </c>
      <c r="D20" s="431"/>
    </row>
    <row r="21" spans="2:4" x14ac:dyDescent="0.2">
      <c r="B21" s="471"/>
      <c r="C21" s="471"/>
    </row>
    <row r="22" spans="2:4" x14ac:dyDescent="0.2">
      <c r="B22" s="467" t="s">
        <v>211</v>
      </c>
      <c r="C22" s="467"/>
    </row>
    <row r="23" spans="2:4" x14ac:dyDescent="0.2">
      <c r="B23" s="467"/>
      <c r="C23" s="467"/>
    </row>
    <row r="50" spans="2:3" x14ac:dyDescent="0.2">
      <c r="B50" s="435" t="str">
        <f ca="1">IF(Scratch!B55=TRUE,"Licensed to "&amp;Welcome!C11, Welcome!C13&amp;" In evaluation mode functionality is limited.")</f>
        <v xml:space="preserve"> In evaluation mode functionality is limited.</v>
      </c>
    </row>
    <row r="53" spans="2:3" x14ac:dyDescent="0.2">
      <c r="B53" s="435" t="b">
        <f>IFERROR(AND(ISTEXT(Welcome!C18),LEN(Welcome!C18)&gt;6),FALSE)</f>
        <v>0</v>
      </c>
    </row>
    <row r="54" spans="2:3" x14ac:dyDescent="0.2">
      <c r="B54" s="435" t="b">
        <f>IFERROR(AND(ISNUMBER(INT(Welcome!C19)),LEN(Welcome!C19)&gt;8),FALSE)</f>
        <v>0</v>
      </c>
      <c r="C54" s="437" t="b">
        <f>IFERROR(Welcome!C19/Scratch!E57/E41,FALSE)</f>
        <v>0</v>
      </c>
    </row>
    <row r="58" spans="2:3" x14ac:dyDescent="0.2">
      <c r="C58" s="437" t="e">
        <f>MID(Welcome!$C$18,B58,1)</f>
        <v>#VALUE!</v>
      </c>
    </row>
    <row r="59" spans="2:3" x14ac:dyDescent="0.2">
      <c r="C59" s="437" t="e">
        <f>MID(Welcome!$C$18,B59,1)</f>
        <v>#VALUE!</v>
      </c>
    </row>
    <row r="60" spans="2:3" x14ac:dyDescent="0.2">
      <c r="C60" s="437" t="e">
        <f>MID(Welcome!$C$18,B60,1)</f>
        <v>#VALUE!</v>
      </c>
    </row>
    <row r="61" spans="2:3" x14ac:dyDescent="0.2">
      <c r="C61" s="437" t="e">
        <f>MID(Welcome!$C$18,B61,1)</f>
        <v>#VALUE!</v>
      </c>
    </row>
    <row r="62" spans="2:3" x14ac:dyDescent="0.2">
      <c r="C62" s="437" t="e">
        <f>MID(Welcome!$C$18,B62,1)</f>
        <v>#VALUE!</v>
      </c>
    </row>
    <row r="63" spans="2:3" x14ac:dyDescent="0.2">
      <c r="C63" s="437" t="e">
        <f>MID(Welcome!$C$18,B63,1)</f>
        <v>#VALUE!</v>
      </c>
    </row>
    <row r="64" spans="2:3" x14ac:dyDescent="0.2">
      <c r="C64" s="437" t="e">
        <f>MID(Welcome!$C$18,B64,1)</f>
        <v>#VALUE!</v>
      </c>
    </row>
    <row r="65" spans="3:3" x14ac:dyDescent="0.2">
      <c r="C65" s="437" t="e">
        <f>MID(Welcome!$C$18,B65,1)</f>
        <v>#VALUE!</v>
      </c>
    </row>
    <row r="66" spans="3:3" x14ac:dyDescent="0.2">
      <c r="C66" s="437" t="e">
        <f>MID(Welcome!$C$18,B66,1)</f>
        <v>#VALUE!</v>
      </c>
    </row>
    <row r="67" spans="3:3" x14ac:dyDescent="0.2">
      <c r="C67" s="437" t="e">
        <f>MID(Welcome!$C$18,B67,1)</f>
        <v>#VALUE!</v>
      </c>
    </row>
    <row r="68" spans="3:3" x14ac:dyDescent="0.2">
      <c r="C68" s="437" t="e">
        <f>MID(Welcome!$C$18,B68,1)</f>
        <v>#VALUE!</v>
      </c>
    </row>
    <row r="69" spans="3:3" x14ac:dyDescent="0.2">
      <c r="C69" s="437" t="e">
        <f>MID(Welcome!$C$18,B69,1)</f>
        <v>#VALUE!</v>
      </c>
    </row>
    <row r="70" spans="3:3" x14ac:dyDescent="0.2">
      <c r="C70" s="437" t="e">
        <f>MID(Welcome!$C$18,B70,1)</f>
        <v>#VALUE!</v>
      </c>
    </row>
    <row r="71" spans="3:3" x14ac:dyDescent="0.2">
      <c r="C71" s="437" t="e">
        <f>MID(Welcome!$C$18,B71,1)</f>
        <v>#VALUE!</v>
      </c>
    </row>
    <row r="72" spans="3:3" x14ac:dyDescent="0.2">
      <c r="C72" s="437" t="e">
        <f>MID(Welcome!$C$18,B72,1)</f>
        <v>#VALUE!</v>
      </c>
    </row>
    <row r="73" spans="3:3" x14ac:dyDescent="0.2">
      <c r="C73" s="437" t="e">
        <f>MID(Welcome!$C$18,B73,1)</f>
        <v>#VALUE!</v>
      </c>
    </row>
    <row r="74" spans="3:3" x14ac:dyDescent="0.2">
      <c r="C74" s="437" t="e">
        <f>MID(Welcome!$C$18,B74,1)</f>
        <v>#VALUE!</v>
      </c>
    </row>
    <row r="75" spans="3:3" x14ac:dyDescent="0.2">
      <c r="C75" s="437" t="e">
        <f>MID(Welcome!$C$18,B75,1)</f>
        <v>#VALUE!</v>
      </c>
    </row>
    <row r="76" spans="3:3" x14ac:dyDescent="0.2">
      <c r="C76" s="437" t="e">
        <f>MID(Welcome!$C$18,B76,1)</f>
        <v>#VALUE!</v>
      </c>
    </row>
    <row r="77" spans="3:3" x14ac:dyDescent="0.2">
      <c r="C77" s="437" t="e">
        <f>MID(Welcome!$C$18,B77,1)</f>
        <v>#VALUE!</v>
      </c>
    </row>
    <row r="78" spans="3:3" x14ac:dyDescent="0.2">
      <c r="C78" s="437" t="e">
        <f>MID(Welcome!$C$18,B78,1)</f>
        <v>#VALUE!</v>
      </c>
    </row>
    <row r="79" spans="3:3" x14ac:dyDescent="0.2">
      <c r="C79" s="437" t="e">
        <f>MID(Welcome!$C$18,B79,1)</f>
        <v>#VALUE!</v>
      </c>
    </row>
    <row r="80" spans="3:3" x14ac:dyDescent="0.2">
      <c r="C80" s="437" t="e">
        <f>MID(Welcome!$C$18,B80,1)</f>
        <v>#VALUE!</v>
      </c>
    </row>
    <row r="81" spans="3:3" x14ac:dyDescent="0.2">
      <c r="C81" s="437" t="e">
        <f>MID(Welcome!$C$18,B81,1)</f>
        <v>#VALUE!</v>
      </c>
    </row>
    <row r="82" spans="3:3" x14ac:dyDescent="0.2">
      <c r="C82" s="437" t="e">
        <f>MID(Welcome!$C$18,B82,1)</f>
        <v>#VALUE!</v>
      </c>
    </row>
    <row r="83" spans="3:3" x14ac:dyDescent="0.2">
      <c r="C83" s="437" t="e">
        <f>MID(Welcome!$C$18,B83,1)</f>
        <v>#VALUE!</v>
      </c>
    </row>
    <row r="84" spans="3:3" x14ac:dyDescent="0.2">
      <c r="C84" s="437" t="e">
        <f>MID(Welcome!$C$18,B84,1)</f>
        <v>#VALUE!</v>
      </c>
    </row>
    <row r="85" spans="3:3" x14ac:dyDescent="0.2">
      <c r="C85" s="437" t="e">
        <f>MID(Welcome!$C$18,B85,1)</f>
        <v>#VALUE!</v>
      </c>
    </row>
    <row r="86" spans="3:3" x14ac:dyDescent="0.2">
      <c r="C86" s="437" t="e">
        <f>MID(Welcome!$C$18,B86,1)</f>
        <v>#VALUE!</v>
      </c>
    </row>
    <row r="87" spans="3:3" x14ac:dyDescent="0.2">
      <c r="C87" s="437" t="e">
        <f>MID(Welcome!$C$18,B87,1)</f>
        <v>#VALUE!</v>
      </c>
    </row>
    <row r="88" spans="3:3" x14ac:dyDescent="0.2">
      <c r="C88" s="437" t="e">
        <f>MID(Welcome!$C$18,B88,1)</f>
        <v>#VALUE!</v>
      </c>
    </row>
    <row r="89" spans="3:3" x14ac:dyDescent="0.2">
      <c r="C89" s="437" t="e">
        <f>MID(Welcome!$C$18,B89,1)</f>
        <v>#VALUE!</v>
      </c>
    </row>
    <row r="90" spans="3:3" x14ac:dyDescent="0.2">
      <c r="C90" s="437" t="e">
        <f>MID(Welcome!$C$18,B90,1)</f>
        <v>#VALUE!</v>
      </c>
    </row>
    <row r="91" spans="3:3" x14ac:dyDescent="0.2">
      <c r="C91" s="437" t="e">
        <f>MID(Welcome!$C$18,B91,1)</f>
        <v>#VALUE!</v>
      </c>
    </row>
    <row r="92" spans="3:3" x14ac:dyDescent="0.2">
      <c r="C92" s="437" t="e">
        <f>MID(Welcome!$C$18,B92,1)</f>
        <v>#VALUE!</v>
      </c>
    </row>
    <row r="93" spans="3:3" x14ac:dyDescent="0.2">
      <c r="C93" s="437" t="e">
        <f>MID(Welcome!$C$18,B93,1)</f>
        <v>#VALUE!</v>
      </c>
    </row>
    <row r="94" spans="3:3" x14ac:dyDescent="0.2">
      <c r="C94" s="437" t="e">
        <f>MID(Welcome!$C$18,B94,1)</f>
        <v>#VALUE!</v>
      </c>
    </row>
    <row r="95" spans="3:3" x14ac:dyDescent="0.2">
      <c r="C95" s="437" t="e">
        <f>MID(Welcome!$C$18,B95,1)</f>
        <v>#VALUE!</v>
      </c>
    </row>
    <row r="96" spans="3:3" x14ac:dyDescent="0.2">
      <c r="C96" s="437" t="e">
        <f>MID(Welcome!$C$18,B96,1)</f>
        <v>#VALUE!</v>
      </c>
    </row>
    <row r="97" spans="3:3" x14ac:dyDescent="0.2">
      <c r="C97" s="437" t="e">
        <f>MID(Welcome!$C$18,B97,1)</f>
        <v>#VALUE!</v>
      </c>
    </row>
    <row r="98" spans="3:3" x14ac:dyDescent="0.2">
      <c r="C98" s="437" t="e">
        <f>MID(Welcome!$C$18,B98,1)</f>
        <v>#VALUE!</v>
      </c>
    </row>
    <row r="99" spans="3:3" x14ac:dyDescent="0.2">
      <c r="C99" s="437" t="e">
        <f>MID(Welcome!$C$18,B99,1)</f>
        <v>#VALUE!</v>
      </c>
    </row>
    <row r="100" spans="3:3" x14ac:dyDescent="0.2">
      <c r="C100" s="437" t="e">
        <f>MID(Welcome!$C$18,B100,1)</f>
        <v>#VALUE!</v>
      </c>
    </row>
    <row r="101" spans="3:3" x14ac:dyDescent="0.2">
      <c r="C101" s="437" t="e">
        <f>MID(Welcome!$C$18,B101,1)</f>
        <v>#VALUE!</v>
      </c>
    </row>
    <row r="102" spans="3:3" x14ac:dyDescent="0.2">
      <c r="C102" s="437" t="e">
        <f>MID(Welcome!$C$18,B102,1)</f>
        <v>#VALUE!</v>
      </c>
    </row>
    <row r="103" spans="3:3" x14ac:dyDescent="0.2">
      <c r="C103" s="437" t="e">
        <f>MID(Welcome!$C$18,B103,1)</f>
        <v>#VALUE!</v>
      </c>
    </row>
    <row r="104" spans="3:3" x14ac:dyDescent="0.2">
      <c r="C104" s="437" t="e">
        <f>MID(Welcome!$C$18,B104,1)</f>
        <v>#VALUE!</v>
      </c>
    </row>
    <row r="105" spans="3:3" x14ac:dyDescent="0.2">
      <c r="C105" s="437" t="e">
        <f>MID(Welcome!$C$18,B105,1)</f>
        <v>#VALUE!</v>
      </c>
    </row>
    <row r="106" spans="3:3" x14ac:dyDescent="0.2">
      <c r="C106" s="437" t="e">
        <f>MID(Welcome!$C$18,B106,1)</f>
        <v>#VALUE!</v>
      </c>
    </row>
    <row r="107" spans="3:3" x14ac:dyDescent="0.2">
      <c r="C107" s="437" t="e">
        <f>MID(Welcome!$C$18,B107,1)</f>
        <v>#VALUE!</v>
      </c>
    </row>
  </sheetData>
  <sheetProtection algorithmName="SHA-512" hashValue="FcColNJkuxsGYkDZyP8jF86UiabVhd3WGqiY/+YS5Q9+sH4DSdPBvxkqERKEA+ZZAHjE8hJQqhVMGcTpX0vuLw==" saltValue="VJ0FURLKejVSxb0d9dEIkA==" spinCount="100000" sheet="1" objects="1" scenarios="1"/>
  <mergeCells count="18">
    <mergeCell ref="B6:C6"/>
    <mergeCell ref="B1:C1"/>
    <mergeCell ref="B2:C2"/>
    <mergeCell ref="B3:C3"/>
    <mergeCell ref="B4:C4"/>
    <mergeCell ref="B5:C5"/>
    <mergeCell ref="B23:C23"/>
    <mergeCell ref="B7:C7"/>
    <mergeCell ref="B8:C8"/>
    <mergeCell ref="B9:C9"/>
    <mergeCell ref="B10:C10"/>
    <mergeCell ref="B11:C11"/>
    <mergeCell ref="B12:C12"/>
    <mergeCell ref="B13:C13"/>
    <mergeCell ref="B14:C14"/>
    <mergeCell ref="B15:C16"/>
    <mergeCell ref="B21:C21"/>
    <mergeCell ref="B22:C22"/>
  </mergeCells>
  <hyperlinks>
    <hyperlink ref="B3:C3" r:id="rId1" display="Build: 20211112 by bizpep.com" xr:uid="{9B6030A7-D190-4A19-8CFA-2811386726E0}"/>
    <hyperlink ref="B13:C13" r:id="rId2" display="https://bizpep.com/buy.html?i=qm" xr:uid="{D01B1934-29F7-4426-9679-F68696F7E2CE}"/>
    <hyperlink ref="B13" r:id="rId3" xr:uid="{4078F574-DE49-42AE-91CB-65262B258FFE}"/>
    <hyperlink ref="B9" r:id="rId4" display="https://bizpep.com/shiftscheduler.html?display=help" xr:uid="{D5EE5F3F-7B41-4287-9410-FDD498AAD76D}"/>
    <hyperlink ref="B9:C9" r:id="rId5" display="help" xr:uid="{7790D594-C4DB-4B43-847D-6EF0053C0C3F}"/>
  </hyperlinks>
  <pageMargins left="0.75" right="0.75" top="1" bottom="1" header="0.5" footer="0.5"/>
  <pageSetup paperSize="9" orientation="portrait" r:id="rId6"/>
  <headerFooter alignWithMargins="0"/>
  <drawing r:id="rId7"/>
  <legacyDrawing r:id="rId8"/>
  <mc:AlternateContent xmlns:mc="http://schemas.openxmlformats.org/markup-compatibility/2006">
    <mc:Choice Requires="x14">
      <controls>
        <mc:AlternateContent xmlns:mc="http://schemas.openxmlformats.org/markup-compatibility/2006">
          <mc:Choice Requires="x14">
            <control shapeId="516097" r:id="rId9" name="Button 1">
              <controlPr defaultSize="0" print="0" autoFill="0" autoPict="0" macro="[0]!ThisWorkbook.RegCK">
                <anchor moveWithCells="1">
                  <from>
                    <xdr:col>1</xdr:col>
                    <xdr:colOff>1714500</xdr:colOff>
                    <xdr:row>14</xdr:row>
                    <xdr:rowOff>19050</xdr:rowOff>
                  </from>
                  <to>
                    <xdr:col>2</xdr:col>
                    <xdr:colOff>2286000</xdr:colOff>
                    <xdr:row>15</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1:H83"/>
  <sheetViews>
    <sheetView showGridLines="0" zoomScaleNormal="100" workbookViewId="0"/>
  </sheetViews>
  <sheetFormatPr defaultRowHeight="12.75" x14ac:dyDescent="0.2"/>
  <cols>
    <col min="1" max="1" width="2" customWidth="1"/>
    <col min="2" max="2" width="35.140625" customWidth="1"/>
    <col min="3" max="3" width="11.5703125" customWidth="1"/>
    <col min="4" max="4" width="11.28515625" customWidth="1"/>
    <col min="5" max="5" width="10.7109375" customWidth="1"/>
    <col min="6" max="6" width="35" customWidth="1"/>
    <col min="7" max="7" width="2.140625" customWidth="1"/>
  </cols>
  <sheetData>
    <row r="1" spans="1:8" ht="1.5" customHeight="1" x14ac:dyDescent="0.2">
      <c r="A1" s="94"/>
      <c r="B1" s="94"/>
      <c r="C1" s="94"/>
      <c r="D1" s="94"/>
      <c r="E1" s="94"/>
      <c r="F1" s="94"/>
      <c r="G1" s="94"/>
      <c r="H1" s="94"/>
    </row>
    <row r="2" spans="1:8" s="409" customFormat="1" ht="1.5" hidden="1" customHeight="1" x14ac:dyDescent="0.2">
      <c r="A2" s="112"/>
      <c r="B2" s="112"/>
      <c r="C2" s="112"/>
      <c r="D2" s="495"/>
      <c r="E2" s="495"/>
      <c r="F2" s="496"/>
      <c r="G2" s="112"/>
      <c r="H2" s="112"/>
    </row>
    <row r="3" spans="1:8" s="409" customFormat="1" ht="25.5" hidden="1" customHeight="1" x14ac:dyDescent="0.2">
      <c r="A3" s="112"/>
      <c r="B3" s="112"/>
      <c r="C3" s="112"/>
      <c r="D3" s="495"/>
      <c r="E3" s="497"/>
      <c r="F3" s="496"/>
      <c r="G3" s="112"/>
      <c r="H3" s="112"/>
    </row>
    <row r="4" spans="1:8" ht="3.75" customHeight="1" x14ac:dyDescent="0.2">
      <c r="A4" s="94"/>
      <c r="B4" s="94"/>
      <c r="C4" s="94"/>
      <c r="D4" s="95"/>
      <c r="E4" s="95"/>
      <c r="F4" s="94"/>
      <c r="G4" s="94"/>
      <c r="H4" s="94"/>
    </row>
    <row r="5" spans="1:8" s="411" customFormat="1" ht="18" x14ac:dyDescent="0.25">
      <c r="A5" s="410"/>
      <c r="B5" s="473" t="str">
        <f xml:space="preserve"> "Input - " &amp;title</f>
        <v>Input - Forecast Budget</v>
      </c>
      <c r="C5" s="473"/>
      <c r="D5" s="473"/>
      <c r="E5" s="473"/>
      <c r="F5" s="473"/>
      <c r="G5" s="410"/>
      <c r="H5" s="410"/>
    </row>
    <row r="6" spans="1:8" x14ac:dyDescent="0.2">
      <c r="A6" s="94"/>
      <c r="B6" s="498" t="s">
        <v>92</v>
      </c>
      <c r="C6" s="499"/>
      <c r="D6" s="499"/>
      <c r="E6" s="499"/>
      <c r="F6" s="500"/>
      <c r="G6" s="94"/>
      <c r="H6" s="94"/>
    </row>
    <row r="7" spans="1:8" x14ac:dyDescent="0.2">
      <c r="A7" s="94"/>
      <c r="B7" s="502" t="s">
        <v>91</v>
      </c>
      <c r="C7" s="503"/>
      <c r="D7" s="503"/>
      <c r="E7" s="503"/>
      <c r="F7" s="504"/>
      <c r="G7" s="94"/>
      <c r="H7" s="94"/>
    </row>
    <row r="8" spans="1:8" x14ac:dyDescent="0.2">
      <c r="A8" s="94"/>
      <c r="B8" s="96"/>
      <c r="C8" s="116"/>
      <c r="D8" s="116"/>
      <c r="E8" s="116"/>
      <c r="F8" s="100"/>
      <c r="G8" s="94"/>
      <c r="H8" s="94"/>
    </row>
    <row r="9" spans="1:8" x14ac:dyDescent="0.2">
      <c r="A9" s="94"/>
      <c r="B9" s="487" t="s">
        <v>94</v>
      </c>
      <c r="C9" s="488"/>
      <c r="D9" s="505" t="s">
        <v>181</v>
      </c>
      <c r="E9" s="506"/>
      <c r="F9" s="507"/>
      <c r="G9" s="94"/>
      <c r="H9" s="94"/>
    </row>
    <row r="10" spans="1:8" x14ac:dyDescent="0.2">
      <c r="A10" s="94"/>
      <c r="B10" s="97"/>
      <c r="C10" s="112"/>
      <c r="D10" s="117"/>
      <c r="E10" s="112"/>
      <c r="F10" s="111"/>
      <c r="G10" s="94"/>
      <c r="H10" s="94"/>
    </row>
    <row r="11" spans="1:8" x14ac:dyDescent="0.2">
      <c r="A11" s="94"/>
      <c r="B11" s="98" t="s">
        <v>182</v>
      </c>
      <c r="C11" s="510" t="s">
        <v>80</v>
      </c>
      <c r="D11" s="511"/>
      <c r="E11" s="511"/>
      <c r="F11" s="111" t="s">
        <v>177</v>
      </c>
      <c r="G11" s="94"/>
      <c r="H11" s="94"/>
    </row>
    <row r="12" spans="1:8" ht="12.75" customHeight="1" x14ac:dyDescent="0.2">
      <c r="A12" s="94"/>
      <c r="B12" s="487"/>
      <c r="C12" s="508"/>
      <c r="D12" s="508"/>
      <c r="E12" s="508"/>
      <c r="F12" s="509"/>
      <c r="G12" s="94"/>
      <c r="H12" s="94"/>
    </row>
    <row r="13" spans="1:8" ht="12.75" customHeight="1" x14ac:dyDescent="0.2">
      <c r="A13" s="94"/>
      <c r="B13" s="98" t="s">
        <v>126</v>
      </c>
      <c r="C13" s="424">
        <v>500000</v>
      </c>
      <c r="D13" s="491" t="s">
        <v>169</v>
      </c>
      <c r="E13" s="508"/>
      <c r="F13" s="509"/>
      <c r="G13" s="94"/>
      <c r="H13" s="94"/>
    </row>
    <row r="14" spans="1:8" ht="12.75" customHeight="1" x14ac:dyDescent="0.2">
      <c r="A14" s="94"/>
      <c r="B14" s="98"/>
      <c r="C14" s="120"/>
      <c r="D14" s="119"/>
      <c r="E14" s="118"/>
      <c r="F14" s="100"/>
      <c r="G14" s="94"/>
      <c r="H14" s="94"/>
    </row>
    <row r="15" spans="1:8" x14ac:dyDescent="0.2">
      <c r="A15" s="94"/>
      <c r="B15" s="97" t="s">
        <v>127</v>
      </c>
      <c r="C15" s="425" t="s">
        <v>168</v>
      </c>
      <c r="D15" s="121" t="str">
        <f>+IF(C15=B81,B82,B81)</f>
        <v>Percent</v>
      </c>
      <c r="E15" s="489" t="s">
        <v>174</v>
      </c>
      <c r="F15" s="490"/>
      <c r="G15" s="94"/>
      <c r="H15" s="94"/>
    </row>
    <row r="16" spans="1:8" x14ac:dyDescent="0.2">
      <c r="A16" s="94"/>
      <c r="B16" s="406" t="s">
        <v>4</v>
      </c>
      <c r="C16" s="122"/>
      <c r="D16" s="123"/>
      <c r="E16" s="489" t="s">
        <v>173</v>
      </c>
      <c r="F16" s="490"/>
      <c r="G16" s="94"/>
      <c r="H16" s="94"/>
    </row>
    <row r="17" spans="1:8" x14ac:dyDescent="0.2">
      <c r="A17" s="94"/>
      <c r="B17" s="99" t="s">
        <v>108</v>
      </c>
      <c r="C17" s="426">
        <v>10000</v>
      </c>
      <c r="D17" s="124">
        <f t="shared" ref="D17:D23" si="0">+IF(D$15=B$82,C17/C$13*100,C17/100*C$13)</f>
        <v>2</v>
      </c>
      <c r="E17" s="489" t="s">
        <v>191</v>
      </c>
      <c r="F17" s="490"/>
      <c r="G17" s="94"/>
      <c r="H17" s="94"/>
    </row>
    <row r="18" spans="1:8" x14ac:dyDescent="0.2">
      <c r="A18" s="94"/>
      <c r="B18" s="99" t="s">
        <v>159</v>
      </c>
      <c r="C18" s="426">
        <v>200000</v>
      </c>
      <c r="D18" s="124">
        <f t="shared" si="0"/>
        <v>40</v>
      </c>
      <c r="E18" s="489" t="s">
        <v>171</v>
      </c>
      <c r="F18" s="490"/>
      <c r="G18" s="94"/>
      <c r="H18" s="94"/>
    </row>
    <row r="19" spans="1:8" x14ac:dyDescent="0.2">
      <c r="A19" s="94"/>
      <c r="B19" s="99" t="s">
        <v>161</v>
      </c>
      <c r="C19" s="426">
        <v>50000</v>
      </c>
      <c r="D19" s="124">
        <f t="shared" si="0"/>
        <v>10</v>
      </c>
      <c r="E19" s="489" t="s">
        <v>170</v>
      </c>
      <c r="F19" s="490"/>
      <c r="G19" s="94"/>
      <c r="H19" s="94"/>
    </row>
    <row r="20" spans="1:8" x14ac:dyDescent="0.2">
      <c r="A20" s="94"/>
      <c r="B20" s="99" t="s">
        <v>109</v>
      </c>
      <c r="C20" s="426">
        <v>20000</v>
      </c>
      <c r="D20" s="124">
        <f t="shared" si="0"/>
        <v>4</v>
      </c>
      <c r="E20" s="489" t="s">
        <v>175</v>
      </c>
      <c r="F20" s="490"/>
      <c r="G20" s="94"/>
      <c r="H20" s="94"/>
    </row>
    <row r="21" spans="1:8" x14ac:dyDescent="0.2">
      <c r="A21" s="94"/>
      <c r="B21" s="99" t="s">
        <v>110</v>
      </c>
      <c r="C21" s="426">
        <v>10000</v>
      </c>
      <c r="D21" s="124">
        <f t="shared" si="0"/>
        <v>2</v>
      </c>
      <c r="E21" s="489" t="s">
        <v>172</v>
      </c>
      <c r="F21" s="490"/>
      <c r="G21" s="94"/>
      <c r="H21" s="94"/>
    </row>
    <row r="22" spans="1:8" x14ac:dyDescent="0.2">
      <c r="A22" s="94"/>
      <c r="B22" s="99" t="s">
        <v>111</v>
      </c>
      <c r="C22" s="426">
        <v>20000</v>
      </c>
      <c r="D22" s="124">
        <f t="shared" si="0"/>
        <v>4</v>
      </c>
      <c r="E22" s="489" t="s">
        <v>176</v>
      </c>
      <c r="F22" s="490"/>
      <c r="G22" s="94"/>
      <c r="H22" s="94"/>
    </row>
    <row r="23" spans="1:8" x14ac:dyDescent="0.2">
      <c r="A23" s="94"/>
      <c r="B23" s="407" t="s">
        <v>6</v>
      </c>
      <c r="C23" s="135">
        <f>SUM(C17:C22)</f>
        <v>310000</v>
      </c>
      <c r="D23" s="136">
        <f t="shared" si="0"/>
        <v>62</v>
      </c>
      <c r="E23" s="491" t="s">
        <v>8</v>
      </c>
      <c r="F23" s="490"/>
      <c r="G23" s="94"/>
      <c r="H23" s="94"/>
    </row>
    <row r="24" spans="1:8" x14ac:dyDescent="0.2">
      <c r="A24" s="94"/>
      <c r="B24" s="406" t="s">
        <v>5</v>
      </c>
      <c r="C24" s="125"/>
      <c r="D24" s="126"/>
      <c r="E24" s="489" t="s">
        <v>99</v>
      </c>
      <c r="F24" s="501"/>
      <c r="G24" s="94"/>
      <c r="H24" s="94"/>
    </row>
    <row r="25" spans="1:8" x14ac:dyDescent="0.2">
      <c r="A25" s="94"/>
      <c r="B25" s="99" t="s">
        <v>112</v>
      </c>
      <c r="C25" s="426">
        <v>40000</v>
      </c>
      <c r="D25" s="124">
        <f t="shared" ref="D25:D33" si="1">+IF(D$15=B$82,C25/C$13*100,C25/100*C$13)</f>
        <v>8</v>
      </c>
      <c r="E25" s="489" t="s">
        <v>178</v>
      </c>
      <c r="F25" s="490"/>
      <c r="G25" s="94"/>
      <c r="H25" s="94"/>
    </row>
    <row r="26" spans="1:8" x14ac:dyDescent="0.2">
      <c r="A26" s="94"/>
      <c r="B26" s="99" t="s">
        <v>113</v>
      </c>
      <c r="C26" s="426">
        <v>30000</v>
      </c>
      <c r="D26" s="124">
        <f t="shared" si="1"/>
        <v>6</v>
      </c>
      <c r="E26" s="489" t="s">
        <v>179</v>
      </c>
      <c r="F26" s="490"/>
      <c r="G26" s="94"/>
      <c r="H26" s="94"/>
    </row>
    <row r="27" spans="1:8" x14ac:dyDescent="0.2">
      <c r="A27" s="94"/>
      <c r="B27" s="99" t="s">
        <v>159</v>
      </c>
      <c r="C27" s="426">
        <v>50000</v>
      </c>
      <c r="D27" s="124">
        <f t="shared" si="1"/>
        <v>10</v>
      </c>
      <c r="E27" s="489" t="s">
        <v>171</v>
      </c>
      <c r="F27" s="490"/>
      <c r="G27" s="94"/>
      <c r="H27" s="94"/>
    </row>
    <row r="28" spans="1:8" x14ac:dyDescent="0.2">
      <c r="A28" s="94"/>
      <c r="B28" s="99" t="s">
        <v>161</v>
      </c>
      <c r="C28" s="426">
        <v>10000</v>
      </c>
      <c r="D28" s="124">
        <f t="shared" si="1"/>
        <v>2</v>
      </c>
      <c r="E28" s="489" t="s">
        <v>170</v>
      </c>
      <c r="F28" s="490"/>
      <c r="G28" s="94"/>
      <c r="H28" s="94"/>
    </row>
    <row r="29" spans="1:8" x14ac:dyDescent="0.2">
      <c r="A29" s="94"/>
      <c r="B29" s="99" t="s">
        <v>124</v>
      </c>
      <c r="C29" s="426">
        <v>0</v>
      </c>
      <c r="D29" s="124">
        <f t="shared" si="1"/>
        <v>0</v>
      </c>
      <c r="E29" s="489" t="s">
        <v>53</v>
      </c>
      <c r="F29" s="490"/>
      <c r="G29" s="94"/>
      <c r="H29" s="94"/>
    </row>
    <row r="30" spans="1:8" x14ac:dyDescent="0.2">
      <c r="A30" s="94"/>
      <c r="B30" s="99" t="s">
        <v>111</v>
      </c>
      <c r="C30" s="426">
        <v>0</v>
      </c>
      <c r="D30" s="124">
        <f t="shared" si="1"/>
        <v>0</v>
      </c>
      <c r="E30" s="489" t="s">
        <v>180</v>
      </c>
      <c r="F30" s="490"/>
      <c r="G30" s="94"/>
      <c r="H30" s="94"/>
    </row>
    <row r="31" spans="1:8" x14ac:dyDescent="0.2">
      <c r="A31" s="94"/>
      <c r="B31" s="407" t="s">
        <v>7</v>
      </c>
      <c r="C31" s="135">
        <f>SUM(C25:C30)</f>
        <v>130000</v>
      </c>
      <c r="D31" s="136">
        <f t="shared" si="1"/>
        <v>26</v>
      </c>
      <c r="E31" s="489" t="s">
        <v>9</v>
      </c>
      <c r="F31" s="490"/>
      <c r="G31" s="94"/>
      <c r="H31" s="94"/>
    </row>
    <row r="32" spans="1:8" x14ac:dyDescent="0.2">
      <c r="A32" s="94"/>
      <c r="B32" s="99" t="s">
        <v>155</v>
      </c>
      <c r="C32" s="135">
        <f>+IF(C$15=B$82,100-C23-C31,C13-C23-C31)</f>
        <v>60000</v>
      </c>
      <c r="D32" s="136">
        <f t="shared" si="1"/>
        <v>12</v>
      </c>
      <c r="E32" s="489" t="s">
        <v>183</v>
      </c>
      <c r="F32" s="490"/>
      <c r="G32" s="94"/>
      <c r="H32" s="94"/>
    </row>
    <row r="33" spans="1:8" x14ac:dyDescent="0.2">
      <c r="A33" s="94"/>
      <c r="B33" s="222" t="s">
        <v>114</v>
      </c>
      <c r="C33" s="134">
        <f>+C32+C28+C19</f>
        <v>120000</v>
      </c>
      <c r="D33" s="134">
        <f t="shared" si="1"/>
        <v>24</v>
      </c>
      <c r="E33" s="489" t="s">
        <v>156</v>
      </c>
      <c r="F33" s="490"/>
      <c r="G33" s="94"/>
      <c r="H33" s="94"/>
    </row>
    <row r="34" spans="1:8" x14ac:dyDescent="0.2">
      <c r="A34" s="94"/>
      <c r="B34" s="101"/>
      <c r="C34" s="128"/>
      <c r="D34" s="128"/>
      <c r="E34" s="129"/>
      <c r="F34" s="102"/>
      <c r="G34" s="94"/>
      <c r="H34" s="94"/>
    </row>
    <row r="35" spans="1:8" x14ac:dyDescent="0.2">
      <c r="A35" s="94"/>
      <c r="B35" s="103"/>
      <c r="C35" s="120"/>
      <c r="D35" s="120"/>
      <c r="E35" s="127"/>
      <c r="F35" s="100"/>
      <c r="G35" s="94"/>
      <c r="H35" s="94"/>
    </row>
    <row r="36" spans="1:8" x14ac:dyDescent="0.2">
      <c r="A36" s="94"/>
      <c r="B36" s="487" t="s">
        <v>93</v>
      </c>
      <c r="C36" s="512"/>
      <c r="D36" s="513" t="s">
        <v>100</v>
      </c>
      <c r="E36" s="514"/>
      <c r="F36" s="490"/>
      <c r="G36" s="94"/>
      <c r="H36" s="94"/>
    </row>
    <row r="37" spans="1:8" x14ac:dyDescent="0.2">
      <c r="A37" s="94"/>
      <c r="B37" s="104"/>
      <c r="C37" s="120"/>
      <c r="D37" s="120"/>
      <c r="E37" s="127"/>
      <c r="F37" s="100"/>
      <c r="G37" s="94"/>
      <c r="H37" s="94"/>
    </row>
    <row r="38" spans="1:8" x14ac:dyDescent="0.2">
      <c r="A38" s="94"/>
      <c r="B38" s="223" t="s">
        <v>134</v>
      </c>
      <c r="C38" s="130" t="s">
        <v>136</v>
      </c>
      <c r="D38" s="131" t="s">
        <v>137</v>
      </c>
      <c r="E38" s="105" t="s">
        <v>138</v>
      </c>
      <c r="F38" s="100" t="s">
        <v>146</v>
      </c>
      <c r="G38" s="94"/>
      <c r="H38" s="94"/>
    </row>
    <row r="39" spans="1:8" x14ac:dyDescent="0.2">
      <c r="A39" s="94"/>
      <c r="B39" s="222" t="s">
        <v>115</v>
      </c>
      <c r="C39" s="137">
        <v>1.03</v>
      </c>
      <c r="D39" s="137">
        <v>1</v>
      </c>
      <c r="E39" s="138">
        <v>0.97</v>
      </c>
      <c r="F39" s="132" t="s">
        <v>157</v>
      </c>
      <c r="G39" s="94"/>
      <c r="H39" s="94"/>
    </row>
    <row r="40" spans="1:8" x14ac:dyDescent="0.2">
      <c r="A40" s="94"/>
      <c r="B40" s="222" t="s">
        <v>116</v>
      </c>
      <c r="C40" s="139">
        <v>1.05</v>
      </c>
      <c r="D40" s="139">
        <v>1</v>
      </c>
      <c r="E40" s="140">
        <v>1</v>
      </c>
      <c r="F40" s="100" t="s">
        <v>147</v>
      </c>
      <c r="G40" s="94"/>
      <c r="H40" s="94"/>
    </row>
    <row r="41" spans="1:8" x14ac:dyDescent="0.2">
      <c r="A41" s="94"/>
      <c r="B41" s="222" t="s">
        <v>117</v>
      </c>
      <c r="C41" s="139">
        <v>1.05</v>
      </c>
      <c r="D41" s="139">
        <v>1.05</v>
      </c>
      <c r="E41" s="140">
        <v>1</v>
      </c>
      <c r="F41" s="100" t="s">
        <v>148</v>
      </c>
      <c r="G41" s="94"/>
      <c r="H41" s="94"/>
    </row>
    <row r="42" spans="1:8" x14ac:dyDescent="0.2">
      <c r="A42" s="94"/>
      <c r="B42" s="222" t="s">
        <v>162</v>
      </c>
      <c r="C42" s="139">
        <v>1</v>
      </c>
      <c r="D42" s="139">
        <v>1.03</v>
      </c>
      <c r="E42" s="140">
        <v>1.05</v>
      </c>
      <c r="F42" s="100" t="s">
        <v>148</v>
      </c>
      <c r="G42" s="94"/>
      <c r="H42" s="94"/>
    </row>
    <row r="43" spans="1:8" x14ac:dyDescent="0.2">
      <c r="A43" s="94"/>
      <c r="B43" s="222" t="s">
        <v>125</v>
      </c>
      <c r="C43" s="139">
        <v>1</v>
      </c>
      <c r="D43" s="139">
        <v>1.05</v>
      </c>
      <c r="E43" s="140">
        <v>0.95</v>
      </c>
      <c r="F43" s="100" t="s">
        <v>193</v>
      </c>
      <c r="G43" s="94"/>
      <c r="H43" s="94"/>
    </row>
    <row r="44" spans="1:8" x14ac:dyDescent="0.2">
      <c r="A44" s="94"/>
      <c r="B44" s="222" t="s">
        <v>118</v>
      </c>
      <c r="C44" s="139">
        <v>1.1000000000000001</v>
      </c>
      <c r="D44" s="139">
        <v>1.05</v>
      </c>
      <c r="E44" s="140">
        <v>1.03</v>
      </c>
      <c r="F44" s="100" t="s">
        <v>192</v>
      </c>
      <c r="G44" s="94"/>
      <c r="H44" s="94"/>
    </row>
    <row r="45" spans="1:8" x14ac:dyDescent="0.2">
      <c r="A45" s="94"/>
      <c r="B45" s="408" t="s">
        <v>10</v>
      </c>
      <c r="C45" s="139">
        <v>1.03</v>
      </c>
      <c r="D45" s="139">
        <v>1.05</v>
      </c>
      <c r="E45" s="140">
        <v>1</v>
      </c>
      <c r="F45" s="100" t="s">
        <v>12</v>
      </c>
      <c r="G45" s="94"/>
      <c r="H45" s="94"/>
    </row>
    <row r="46" spans="1:8" x14ac:dyDescent="0.2">
      <c r="A46" s="94"/>
      <c r="B46" s="408" t="s">
        <v>11</v>
      </c>
      <c r="C46" s="141">
        <v>1</v>
      </c>
      <c r="D46" s="141">
        <v>1.02</v>
      </c>
      <c r="E46" s="142">
        <v>1.05</v>
      </c>
      <c r="F46" s="100" t="s">
        <v>13</v>
      </c>
      <c r="G46" s="94"/>
      <c r="H46" s="94"/>
    </row>
    <row r="47" spans="1:8" x14ac:dyDescent="0.2">
      <c r="A47" s="94"/>
      <c r="B47" s="106"/>
      <c r="C47" s="120"/>
      <c r="D47" s="120"/>
      <c r="E47" s="120"/>
      <c r="F47" s="100"/>
      <c r="G47" s="94"/>
      <c r="H47" s="94"/>
    </row>
    <row r="48" spans="1:8" x14ac:dyDescent="0.2">
      <c r="A48" s="94"/>
      <c r="B48" s="407" t="s">
        <v>14</v>
      </c>
      <c r="C48" s="218">
        <v>0.25</v>
      </c>
      <c r="D48" s="513" t="s">
        <v>15</v>
      </c>
      <c r="E48" s="519"/>
      <c r="F48" s="490"/>
      <c r="G48" s="94"/>
      <c r="H48" s="94"/>
    </row>
    <row r="49" spans="1:8" x14ac:dyDescent="0.2">
      <c r="A49" s="94"/>
      <c r="B49" s="133"/>
      <c r="C49" s="120"/>
      <c r="D49" s="120"/>
      <c r="E49" s="127"/>
      <c r="F49" s="100"/>
      <c r="G49" s="94"/>
      <c r="H49" s="94"/>
    </row>
    <row r="50" spans="1:8" x14ac:dyDescent="0.2">
      <c r="A50" s="94"/>
      <c r="B50" s="99" t="s">
        <v>140</v>
      </c>
      <c r="C50" s="218">
        <v>1</v>
      </c>
      <c r="D50" s="513" t="s">
        <v>121</v>
      </c>
      <c r="E50" s="515"/>
      <c r="F50" s="501"/>
      <c r="G50" s="94"/>
      <c r="H50" s="94"/>
    </row>
    <row r="51" spans="1:8" x14ac:dyDescent="0.2">
      <c r="A51" s="94"/>
      <c r="B51" s="99" t="s">
        <v>119</v>
      </c>
      <c r="C51" s="219">
        <v>100000</v>
      </c>
      <c r="D51" s="513" t="s">
        <v>122</v>
      </c>
      <c r="E51" s="515"/>
      <c r="F51" s="501"/>
      <c r="G51" s="94"/>
      <c r="H51" s="94"/>
    </row>
    <row r="52" spans="1:8" x14ac:dyDescent="0.2">
      <c r="A52" s="94"/>
      <c r="B52" s="99" t="s">
        <v>120</v>
      </c>
      <c r="C52" s="219">
        <v>8</v>
      </c>
      <c r="D52" s="513" t="s">
        <v>123</v>
      </c>
      <c r="E52" s="515"/>
      <c r="F52" s="501"/>
      <c r="G52" s="94"/>
      <c r="H52" s="94"/>
    </row>
    <row r="53" spans="1:8" x14ac:dyDescent="0.2">
      <c r="A53" s="94"/>
      <c r="B53" s="103"/>
      <c r="C53" s="120"/>
      <c r="D53" s="412"/>
      <c r="E53" s="127"/>
      <c r="F53" s="100"/>
      <c r="G53" s="94"/>
      <c r="H53" s="94"/>
    </row>
    <row r="54" spans="1:8" x14ac:dyDescent="0.2">
      <c r="A54" s="94"/>
      <c r="B54" s="516" t="s">
        <v>71</v>
      </c>
      <c r="C54" s="517"/>
      <c r="D54" s="517"/>
      <c r="E54" s="517"/>
      <c r="F54" s="518"/>
      <c r="G54" s="94"/>
      <c r="H54" s="94"/>
    </row>
    <row r="55" spans="1:8" ht="77.25" customHeight="1" x14ac:dyDescent="0.2">
      <c r="A55" s="94"/>
      <c r="B55" s="484" t="s">
        <v>51</v>
      </c>
      <c r="C55" s="485"/>
      <c r="D55" s="485"/>
      <c r="E55" s="485"/>
      <c r="F55" s="486"/>
      <c r="G55" s="94"/>
      <c r="H55" s="94"/>
    </row>
    <row r="56" spans="1:8" ht="12.75" customHeight="1" x14ac:dyDescent="0.2">
      <c r="A56" s="94"/>
      <c r="B56" s="107" t="s">
        <v>71</v>
      </c>
      <c r="C56" s="108"/>
      <c r="D56" s="109"/>
      <c r="E56" s="110"/>
      <c r="F56" s="111"/>
      <c r="G56" s="94"/>
      <c r="H56" s="94"/>
    </row>
    <row r="57" spans="1:8" ht="22.5" customHeight="1" x14ac:dyDescent="0.2">
      <c r="A57" s="94"/>
      <c r="B57" s="227" t="s">
        <v>164</v>
      </c>
      <c r="C57" s="492"/>
      <c r="D57" s="493"/>
      <c r="E57" s="493"/>
      <c r="F57" s="494"/>
      <c r="G57" s="94"/>
      <c r="H57" s="94"/>
    </row>
    <row r="58" spans="1:8" ht="22.5" customHeight="1" x14ac:dyDescent="0.2">
      <c r="A58" s="94"/>
      <c r="B58" s="227" t="s">
        <v>105</v>
      </c>
      <c r="C58" s="492"/>
      <c r="D58" s="493"/>
      <c r="E58" s="493"/>
      <c r="F58" s="494"/>
      <c r="G58" s="94"/>
      <c r="H58" s="94"/>
    </row>
    <row r="59" spans="1:8" ht="22.5" customHeight="1" x14ac:dyDescent="0.2">
      <c r="A59" s="94"/>
      <c r="B59" s="227" t="s">
        <v>104</v>
      </c>
      <c r="C59" s="492"/>
      <c r="D59" s="493"/>
      <c r="E59" s="493"/>
      <c r="F59" s="494"/>
      <c r="G59" s="94"/>
      <c r="H59" s="94"/>
    </row>
    <row r="60" spans="1:8" ht="22.5" customHeight="1" x14ac:dyDescent="0.2">
      <c r="A60" s="94"/>
      <c r="B60" s="227" t="s">
        <v>106</v>
      </c>
      <c r="C60" s="492"/>
      <c r="D60" s="493"/>
      <c r="E60" s="493"/>
      <c r="F60" s="494"/>
      <c r="G60" s="94"/>
      <c r="H60" s="94"/>
    </row>
    <row r="61" spans="1:8" ht="22.5" customHeight="1" x14ac:dyDescent="0.2">
      <c r="A61" s="94"/>
      <c r="B61" s="227" t="s">
        <v>101</v>
      </c>
      <c r="C61" s="492"/>
      <c r="D61" s="493"/>
      <c r="E61" s="493"/>
      <c r="F61" s="494"/>
      <c r="G61" s="94"/>
      <c r="H61" s="94"/>
    </row>
    <row r="62" spans="1:8" ht="22.5" customHeight="1" x14ac:dyDescent="0.2">
      <c r="A62" s="94"/>
      <c r="B62" s="227" t="s">
        <v>66</v>
      </c>
      <c r="C62" s="492"/>
      <c r="D62" s="493"/>
      <c r="E62" s="493"/>
      <c r="F62" s="494"/>
      <c r="G62" s="94"/>
      <c r="H62" s="94"/>
    </row>
    <row r="63" spans="1:8" ht="22.5" customHeight="1" x14ac:dyDescent="0.2">
      <c r="A63" s="94"/>
      <c r="B63" s="227" t="s">
        <v>102</v>
      </c>
      <c r="C63" s="492"/>
      <c r="D63" s="493"/>
      <c r="E63" s="493"/>
      <c r="F63" s="494"/>
      <c r="G63" s="94"/>
      <c r="H63" s="94"/>
    </row>
    <row r="64" spans="1:8" ht="22.5" customHeight="1" x14ac:dyDescent="0.2">
      <c r="A64" s="94"/>
      <c r="B64" s="227" t="s">
        <v>103</v>
      </c>
      <c r="C64" s="492"/>
      <c r="D64" s="493"/>
      <c r="E64" s="493"/>
      <c r="F64" s="494"/>
      <c r="G64" s="94"/>
      <c r="H64" s="94"/>
    </row>
    <row r="65" spans="1:8" ht="22.5" customHeight="1" x14ac:dyDescent="0.2">
      <c r="A65" s="94"/>
      <c r="B65" s="227" t="s">
        <v>67</v>
      </c>
      <c r="C65" s="492"/>
      <c r="D65" s="493"/>
      <c r="E65" s="493"/>
      <c r="F65" s="494"/>
      <c r="G65" s="94"/>
      <c r="H65" s="94"/>
    </row>
    <row r="66" spans="1:8" ht="22.5" customHeight="1" x14ac:dyDescent="0.2">
      <c r="A66" s="94"/>
      <c r="B66" s="227" t="s">
        <v>68</v>
      </c>
      <c r="C66" s="492"/>
      <c r="D66" s="493"/>
      <c r="E66" s="493"/>
      <c r="F66" s="494"/>
      <c r="G66" s="94"/>
      <c r="H66" s="94"/>
    </row>
    <row r="67" spans="1:8" ht="22.5" customHeight="1" x14ac:dyDescent="0.2">
      <c r="A67" s="94"/>
      <c r="B67" s="227" t="s">
        <v>79</v>
      </c>
      <c r="C67" s="492"/>
      <c r="D67" s="493"/>
      <c r="E67" s="493"/>
      <c r="F67" s="494"/>
      <c r="G67" s="94"/>
      <c r="H67" s="94"/>
    </row>
    <row r="68" spans="1:8" ht="22.5" customHeight="1" x14ac:dyDescent="0.2">
      <c r="A68" s="94"/>
      <c r="B68" s="227" t="s">
        <v>69</v>
      </c>
      <c r="C68" s="492"/>
      <c r="D68" s="493"/>
      <c r="E68" s="493"/>
      <c r="F68" s="494"/>
      <c r="G68" s="94"/>
      <c r="H68" s="94"/>
    </row>
    <row r="69" spans="1:8" ht="12.75" customHeight="1" x14ac:dyDescent="0.2">
      <c r="A69" s="94"/>
      <c r="B69" s="450"/>
      <c r="C69" s="451"/>
      <c r="D69" s="452"/>
      <c r="E69" s="453"/>
      <c r="F69" s="454"/>
      <c r="G69" s="94"/>
      <c r="H69" s="94"/>
    </row>
    <row r="70" spans="1:8" x14ac:dyDescent="0.2">
      <c r="A70" s="94"/>
      <c r="B70" s="478"/>
      <c r="C70" s="479"/>
      <c r="D70" s="479"/>
      <c r="E70" s="479"/>
      <c r="F70" s="480"/>
      <c r="G70" s="94"/>
      <c r="H70" s="94"/>
    </row>
    <row r="71" spans="1:8" x14ac:dyDescent="0.2">
      <c r="A71" s="112"/>
      <c r="B71" s="478"/>
      <c r="C71" s="479"/>
      <c r="D71" s="479"/>
      <c r="E71" s="479"/>
      <c r="F71" s="480"/>
      <c r="G71" s="94"/>
      <c r="H71" s="94"/>
    </row>
    <row r="72" spans="1:8" ht="18" x14ac:dyDescent="0.2">
      <c r="A72" s="112"/>
      <c r="B72" s="483"/>
      <c r="C72" s="483"/>
      <c r="D72" s="483"/>
      <c r="E72" s="483"/>
      <c r="F72" s="483"/>
      <c r="G72" s="94"/>
      <c r="H72" s="94"/>
    </row>
    <row r="73" spans="1:8" ht="18" x14ac:dyDescent="0.2">
      <c r="A73" s="112"/>
      <c r="B73" s="481"/>
      <c r="C73" s="481"/>
      <c r="D73" s="481"/>
      <c r="E73" s="481"/>
      <c r="F73" s="481"/>
      <c r="G73" s="94"/>
      <c r="H73" s="94"/>
    </row>
    <row r="74" spans="1:8" ht="18" x14ac:dyDescent="0.2">
      <c r="A74" s="112"/>
      <c r="B74" s="482"/>
      <c r="C74" s="482"/>
      <c r="D74" s="482"/>
      <c r="E74" s="482"/>
      <c r="F74" s="482"/>
      <c r="G74" s="94"/>
      <c r="H74" s="94"/>
    </row>
    <row r="75" spans="1:8" ht="18" x14ac:dyDescent="0.2">
      <c r="A75" s="112"/>
      <c r="B75" s="481"/>
      <c r="C75" s="481"/>
      <c r="D75" s="481"/>
      <c r="E75" s="481"/>
      <c r="F75" s="481"/>
      <c r="G75" s="94"/>
      <c r="H75" s="94"/>
    </row>
    <row r="76" spans="1:8" ht="18" x14ac:dyDescent="0.2">
      <c r="A76" s="112"/>
      <c r="B76" s="475"/>
      <c r="C76" s="475"/>
      <c r="D76" s="475"/>
      <c r="E76" s="475"/>
      <c r="F76" s="475"/>
      <c r="G76" s="94"/>
      <c r="H76" s="94"/>
    </row>
    <row r="77" spans="1:8" ht="18" x14ac:dyDescent="0.2">
      <c r="A77" s="112"/>
      <c r="B77" s="476"/>
      <c r="C77" s="476"/>
      <c r="D77" s="476"/>
      <c r="E77" s="476"/>
      <c r="F77" s="476"/>
      <c r="G77" s="94"/>
      <c r="H77" s="94"/>
    </row>
    <row r="78" spans="1:8" ht="18" x14ac:dyDescent="0.2">
      <c r="A78" s="112"/>
      <c r="B78" s="475"/>
      <c r="C78" s="475"/>
      <c r="D78" s="475"/>
      <c r="E78" s="475"/>
      <c r="F78" s="475"/>
      <c r="G78" s="94"/>
      <c r="H78" s="94"/>
    </row>
    <row r="79" spans="1:8" x14ac:dyDescent="0.2">
      <c r="A79" s="112"/>
      <c r="B79" s="477"/>
      <c r="C79" s="477"/>
      <c r="D79" s="477"/>
      <c r="E79" s="477"/>
      <c r="F79" s="477"/>
      <c r="G79" s="94"/>
      <c r="H79" s="94"/>
    </row>
    <row r="80" spans="1:8" x14ac:dyDescent="0.2">
      <c r="A80" s="112"/>
      <c r="B80" s="113"/>
      <c r="C80" s="112"/>
      <c r="D80" s="114"/>
      <c r="E80" s="94"/>
      <c r="F80" s="94"/>
      <c r="G80" s="94"/>
      <c r="H80" s="94"/>
    </row>
    <row r="81" spans="1:8" x14ac:dyDescent="0.2">
      <c r="A81" s="112"/>
      <c r="B81" s="254" t="s">
        <v>168</v>
      </c>
      <c r="C81" s="112"/>
      <c r="D81" s="114"/>
      <c r="E81" s="94"/>
      <c r="F81" s="94"/>
      <c r="G81" s="94"/>
      <c r="H81" s="94"/>
    </row>
    <row r="82" spans="1:8" x14ac:dyDescent="0.2">
      <c r="A82" s="112"/>
      <c r="B82" s="255" t="s">
        <v>158</v>
      </c>
      <c r="C82" s="112"/>
      <c r="D82" s="112"/>
      <c r="E82" s="94"/>
      <c r="F82" s="94"/>
      <c r="G82" s="94"/>
      <c r="H82" s="94"/>
    </row>
    <row r="83" spans="1:8" x14ac:dyDescent="0.2">
      <c r="A83" s="112"/>
      <c r="B83" s="115"/>
      <c r="C83" s="112"/>
      <c r="D83" s="112"/>
      <c r="E83" s="94"/>
      <c r="F83" s="94"/>
      <c r="G83" s="94"/>
      <c r="H83" s="94"/>
    </row>
  </sheetData>
  <sheetProtection algorithmName="SHA-512" hashValue="RFUIZGoKKari5khpeXeA4/S0YjldrORUHiNtp/OFPkjOryx3pZSb2fqPqquTr9J6Q17/idt/2hqcwFhc6U2H8w==" saltValue="f5olsCveAtx2b5bnPsyKBg==" spinCount="100000" sheet="1" objects="1" scenarios="1" formatCells="0" formatColumns="0" formatRows="0"/>
  <mergeCells count="59">
    <mergeCell ref="C57:F57"/>
    <mergeCell ref="C58:F58"/>
    <mergeCell ref="C59:F59"/>
    <mergeCell ref="C67:F67"/>
    <mergeCell ref="C68:F68"/>
    <mergeCell ref="C61:F61"/>
    <mergeCell ref="C62:F62"/>
    <mergeCell ref="C63:F63"/>
    <mergeCell ref="C64:F64"/>
    <mergeCell ref="C65:F65"/>
    <mergeCell ref="C66:F66"/>
    <mergeCell ref="B36:C36"/>
    <mergeCell ref="D36:F36"/>
    <mergeCell ref="D50:F50"/>
    <mergeCell ref="D51:F51"/>
    <mergeCell ref="B54:F54"/>
    <mergeCell ref="D52:F52"/>
    <mergeCell ref="D48:F48"/>
    <mergeCell ref="D2:F2"/>
    <mergeCell ref="D3:F3"/>
    <mergeCell ref="B5:F5"/>
    <mergeCell ref="B6:F6"/>
    <mergeCell ref="E24:F24"/>
    <mergeCell ref="B7:F7"/>
    <mergeCell ref="E15:F15"/>
    <mergeCell ref="D9:F9"/>
    <mergeCell ref="B12:F12"/>
    <mergeCell ref="C11:E11"/>
    <mergeCell ref="D13:F13"/>
    <mergeCell ref="E21:F21"/>
    <mergeCell ref="E22:F22"/>
    <mergeCell ref="E16:F16"/>
    <mergeCell ref="E19:F19"/>
    <mergeCell ref="E20:F20"/>
    <mergeCell ref="B70:F70"/>
    <mergeCell ref="B55:F55"/>
    <mergeCell ref="B9:C9"/>
    <mergeCell ref="E17:F17"/>
    <mergeCell ref="E18:F18"/>
    <mergeCell ref="E31:F31"/>
    <mergeCell ref="E23:F23"/>
    <mergeCell ref="E25:F25"/>
    <mergeCell ref="E26:F26"/>
    <mergeCell ref="E30:F30"/>
    <mergeCell ref="E28:F28"/>
    <mergeCell ref="E29:F29"/>
    <mergeCell ref="E27:F27"/>
    <mergeCell ref="C60:F60"/>
    <mergeCell ref="E32:F32"/>
    <mergeCell ref="E33:F33"/>
    <mergeCell ref="B76:F76"/>
    <mergeCell ref="B77:F77"/>
    <mergeCell ref="B78:F78"/>
    <mergeCell ref="B79:F79"/>
    <mergeCell ref="B71:F71"/>
    <mergeCell ref="B73:F73"/>
    <mergeCell ref="B74:F74"/>
    <mergeCell ref="B75:F75"/>
    <mergeCell ref="B72:F72"/>
  </mergeCells>
  <phoneticPr fontId="0" type="noConversion"/>
  <dataValidations count="1">
    <dataValidation type="list" allowBlank="1" showInputMessage="1" showErrorMessage="1" error="Input must be &quot;Monetary&quot; or &quot;Percent&quot;." sqref="C15" xr:uid="{00000000-0002-0000-0200-000000000000}">
      <formula1>$B$81:$B$82</formula1>
    </dataValidation>
  </dataValidations>
  <hyperlinks>
    <hyperlink ref="B7:E7" location="Instructions!A1" tooltip="Go to Instruction Sheet" display="Instruction Sheet" xr:uid="{00000000-0004-0000-0200-000000000000}"/>
    <hyperlink ref="B9" location="Instructions!B10" tooltip="Go to Instruction Sheet" display="Current Performance" xr:uid="{00000000-0004-0000-0200-000001000000}"/>
    <hyperlink ref="B13" location="Instructions!B12" tooltip="Go to Instruction Sheet" display="Business Revenue" xr:uid="{00000000-0004-0000-0200-000002000000}"/>
    <hyperlink ref="B16" location="Instructions!B14" tooltip="Go to Instruction Sheet" display="Cost of Sales (COS)" xr:uid="{00000000-0004-0000-0200-000003000000}"/>
    <hyperlink ref="B17" location="Instructions!B15" tooltip="Go to Instruction Sheet" display="Materials &amp; Supplies" xr:uid="{00000000-0004-0000-0200-000004000000}"/>
    <hyperlink ref="B18" location="Instructions!B16" tooltip="Go to Instruction Sheet" display="Labor excluding Owner" xr:uid="{00000000-0004-0000-0200-000005000000}"/>
    <hyperlink ref="B19" location="Instructions!B17" tooltip="Go to Instruction Sheet" display="Labor Owner" xr:uid="{00000000-0004-0000-0200-000006000000}"/>
    <hyperlink ref="B20" location="Instructions!B18" tooltip="Go to Instruction Sheet" display="Distribution" xr:uid="{00000000-0004-0000-0200-000007000000}"/>
    <hyperlink ref="B21" location="Instructions!B19" tooltip="Go to Instruction Sheet" display="Marketing" xr:uid="{00000000-0004-0000-0200-000008000000}"/>
    <hyperlink ref="B22" location="Instructions!B20" tooltip="Go to Instruction Sheet" display="Other" xr:uid="{00000000-0004-0000-0200-000009000000}"/>
    <hyperlink ref="B24" location="Instructions!B22" tooltip="Go to Instruction Sheet" display="Overheads (O/H)" xr:uid="{00000000-0004-0000-0200-00000A000000}"/>
    <hyperlink ref="B25" location="Instructions!B23" tooltip="Go to Instruction Sheet" display="Location" xr:uid="{00000000-0004-0000-0200-00000B000000}"/>
    <hyperlink ref="B26" location="Instructions!B24" tooltip="Go to Instruction Sheet" display="Administration" xr:uid="{00000000-0004-0000-0200-00000C000000}"/>
    <hyperlink ref="B27" location="Instructions!B25" tooltip="Go to Instruction Sheet" display="Labor excluding Owner" xr:uid="{00000000-0004-0000-0200-00000D000000}"/>
    <hyperlink ref="B28" location="Instructions!B26" tooltip="Go to Instruction Sheet" display="Labor Owner" xr:uid="{00000000-0004-0000-0200-00000E000000}"/>
    <hyperlink ref="B30" location="Instructions!B28" tooltip="Go to Instruction Sheet" display="Other" xr:uid="{00000000-0004-0000-0200-00000F000000}"/>
    <hyperlink ref="B15" location="Instructions!B13" tooltip="Go to Instructions" display="Expenses" xr:uid="{00000000-0004-0000-0200-000010000000}"/>
    <hyperlink ref="B7:F7" location="Instructions!A1" tooltip="Go to Instruction Sheet" display="Instruction Sheet" xr:uid="{00000000-0004-0000-0200-000011000000}"/>
    <hyperlink ref="B9:C9" location="Instructions!B10" tooltip="Go to Instruction Sheet" display="Current Operating Performance Data" xr:uid="{00000000-0004-0000-0200-000012000000}"/>
    <hyperlink ref="B11" location="Instructions!B11" tooltip="Go to Instruction Sheet" display="Business Name or Identifier" xr:uid="{00000000-0004-0000-0200-000013000000}"/>
    <hyperlink ref="B23" location="Instructions!B21" tooltip="Go to Instruction Sheet" display="Total Cost of Sales" xr:uid="{00000000-0004-0000-0200-000014000000}"/>
    <hyperlink ref="B29" location="Instructions!B27" tooltip="Go to Instruction Sheet" display="Interest Costs" xr:uid="{00000000-0004-0000-0200-000015000000}"/>
    <hyperlink ref="B31" location="Instructions!B29" tooltip="Go to Instruction Sheet" display="Total Overheads" xr:uid="{00000000-0004-0000-0200-000016000000}"/>
    <hyperlink ref="B32" location="Instructions!B30" tooltip="Go to Instruction Sheet" display="Operating Surplus" xr:uid="{00000000-0004-0000-0200-000017000000}"/>
    <hyperlink ref="B33" location="Instructions!B31" tooltip="Go to Instruction Sheet" display="Owner Cash Flow" xr:uid="{00000000-0004-0000-0200-000018000000}"/>
    <hyperlink ref="B36:C36" location="Instructions!B32" tooltip="Go to Instruction Sheet" display="Forecast Data" xr:uid="{00000000-0004-0000-0200-000019000000}"/>
    <hyperlink ref="B38" location="Instructions!C33" tooltip="Go to Instruction Sheet" display="Relative Indicator" xr:uid="{00000000-0004-0000-0200-00001A000000}"/>
    <hyperlink ref="B39" location="Instructions!B34" tooltip="Go to Instruction Sheet" display="Level of Competition" xr:uid="{00000000-0004-0000-0200-00001B000000}"/>
    <hyperlink ref="B40" location="Instructions!B35" tooltip="Go to Instruction Sheet" display="Market Strength" xr:uid="{00000000-0004-0000-0200-00001C000000}"/>
    <hyperlink ref="B41" location="Instructions!B36" tooltip="Go to Instruction Sheet" display="Materials &amp; Supplies Costs" xr:uid="{00000000-0004-0000-0200-00001D000000}"/>
    <hyperlink ref="B42" location="Instructions!B37" tooltip="Go to Instruction Sheet" display="Labor Costs" xr:uid="{00000000-0004-0000-0200-00001E000000}"/>
    <hyperlink ref="B43" location="Instructions!B38" tooltip="Go to Instruction Sheet" display="Interest Rates" xr:uid="{00000000-0004-0000-0200-00001F000000}"/>
    <hyperlink ref="B44" location="Instructions!B39" tooltip="Go to Instruction Sheet" display="Business Market Position" xr:uid="{00000000-0004-0000-0200-000020000000}"/>
    <hyperlink ref="B45" location="Instructions!B40" tooltip="Go to Instruction Sheet" display="Cost of Sales Efficiency" xr:uid="{00000000-0004-0000-0200-000021000000}"/>
    <hyperlink ref="B46" location="Instructions!B41" tooltip="Go to Instruction Sheet" display="Overheads Efficiency" xr:uid="{00000000-0004-0000-0200-000022000000}"/>
    <hyperlink ref="B48" location="Instructions!B42" tooltip="Go to Instruction Sheet" display="Overhead Flow-on" xr:uid="{00000000-0004-0000-0200-000023000000}"/>
    <hyperlink ref="B50" location="Instructions!B43" tooltip="Go to Instruction Sheet" display="Owners Time Commitment to Business" xr:uid="{00000000-0004-0000-0200-000024000000}"/>
    <hyperlink ref="B51" location="Instructions!B44" tooltip="Go to Instruction Sheet" display="Replacement Value of Business Assets" xr:uid="{00000000-0004-0000-0200-000025000000}"/>
    <hyperlink ref="B52" location="Instructions!B45" tooltip="Go to Instruction Sheet" display="Life of Assets (years)" xr:uid="{00000000-0004-0000-0200-000026000000}"/>
    <hyperlink ref="B57" location="Instructions!B46" tooltip="Go to Instruction Sheet" display="Sensitivity Analysis" xr:uid="{00000000-0004-0000-0200-000027000000}"/>
    <hyperlink ref="B58" location="Instructions!B55" tooltip="Go to Instruction Sheet" display="Expected Results" xr:uid="{00000000-0004-0000-0200-000028000000}"/>
    <hyperlink ref="B59" location="Instructions!B56" tooltip="Go to Instruction Sheet" display="Optimistic Results" xr:uid="{00000000-0004-0000-0200-000029000000}"/>
    <hyperlink ref="B60" location="Instructions!B57" tooltip="Go to Instruction Sheet" display="Pessimistic Results" xr:uid="{00000000-0004-0000-0200-00002A000000}"/>
    <hyperlink ref="B61" location="Instructions!B58" tooltip="Go to Instruction Sheet" display="Forecast Revenue Chart" xr:uid="{00000000-0004-0000-0200-00002B000000}"/>
    <hyperlink ref="B63" location="Instructions!B60" tooltip="Go to Instruction Sheet" display="Forecast Return Chart" xr:uid="{00000000-0004-0000-0200-00002C000000}"/>
    <hyperlink ref="B64" location="Instructions!B61" tooltip="Go to Instruction Sheet" display="Operating Surplus Chart" xr:uid="{00000000-0004-0000-0200-00002D000000}"/>
    <hyperlink ref="B65" location="Instructions!B62" tooltip="Go to Instruction Sheet" display="Budget by Month Master" xr:uid="{00000000-0004-0000-0200-00002E000000}"/>
    <hyperlink ref="B62" location="Instructions!B59" display="Forecast Surplus Chart" xr:uid="{00000000-0004-0000-0200-00002F000000}"/>
    <hyperlink ref="B66" location="Instructions!B67" display="Budget by Month Master Chart" xr:uid="{00000000-0004-0000-0200-000030000000}"/>
    <hyperlink ref="B67" location="Instructions!B68" display="Budget by Month" xr:uid="{00000000-0004-0000-0200-000031000000}"/>
    <hyperlink ref="B68" location="Instructions!B69" display="Budget by Month Chart" xr:uid="{00000000-0004-0000-0200-000032000000}"/>
  </hyperlinks>
  <pageMargins left="0.75" right="0.75" top="1" bottom="1" header="0.5" footer="0.5"/>
  <pageSetup paperSize="9" scale="75" orientation="portrait" horizontalDpi="360" verticalDpi="0" copies="0" r:id="rId1"/>
  <headerFooter alignWithMargins="0"/>
  <rowBreaks count="1" manualBreakCount="1">
    <brk id="53" max="6" man="1"/>
  </rowBreaks>
  <drawing r:id="rId2"/>
  <legacyDrawing r:id="rId3"/>
  <controls>
    <mc:AlternateContent xmlns:mc="http://schemas.openxmlformats.org/markup-compatibility/2006">
      <mc:Choice Requires="x14">
        <control shapeId="398463" r:id="rId4" name="BudMonChaButton">
          <controlPr autoFill="0" autoLine="0" r:id="rId5">
            <anchor moveWithCells="1">
              <from>
                <xdr:col>2</xdr:col>
                <xdr:colOff>28575</xdr:colOff>
                <xdr:row>67</xdr:row>
                <xdr:rowOff>38100</xdr:rowOff>
              </from>
              <to>
                <xdr:col>5</xdr:col>
                <xdr:colOff>2171700</xdr:colOff>
                <xdr:row>68</xdr:row>
                <xdr:rowOff>0</xdr:rowOff>
              </to>
            </anchor>
          </controlPr>
        </control>
      </mc:Choice>
      <mc:Fallback>
        <control shapeId="398463" r:id="rId4" name="BudMonChaButton"/>
      </mc:Fallback>
    </mc:AlternateContent>
    <mc:AlternateContent xmlns:mc="http://schemas.openxmlformats.org/markup-compatibility/2006">
      <mc:Choice Requires="x14">
        <control shapeId="398462" r:id="rId6" name="BudMonButton">
          <controlPr autoFill="0" autoLine="0" r:id="rId7">
            <anchor moveWithCells="1">
              <from>
                <xdr:col>2</xdr:col>
                <xdr:colOff>28575</xdr:colOff>
                <xdr:row>66</xdr:row>
                <xdr:rowOff>38100</xdr:rowOff>
              </from>
              <to>
                <xdr:col>5</xdr:col>
                <xdr:colOff>2171700</xdr:colOff>
                <xdr:row>67</xdr:row>
                <xdr:rowOff>0</xdr:rowOff>
              </to>
            </anchor>
          </controlPr>
        </control>
      </mc:Choice>
      <mc:Fallback>
        <control shapeId="398462" r:id="rId6" name="BudMonButton"/>
      </mc:Fallback>
    </mc:AlternateContent>
    <mc:AlternateContent xmlns:mc="http://schemas.openxmlformats.org/markup-compatibility/2006">
      <mc:Choice Requires="x14">
        <control shapeId="398458" r:id="rId8" name="ForRetButton">
          <controlPr autoFill="0" autoLine="0" r:id="rId9">
            <anchor moveWithCells="1">
              <from>
                <xdr:col>2</xdr:col>
                <xdr:colOff>28575</xdr:colOff>
                <xdr:row>62</xdr:row>
                <xdr:rowOff>38100</xdr:rowOff>
              </from>
              <to>
                <xdr:col>5</xdr:col>
                <xdr:colOff>2171700</xdr:colOff>
                <xdr:row>63</xdr:row>
                <xdr:rowOff>0</xdr:rowOff>
              </to>
            </anchor>
          </controlPr>
        </control>
      </mc:Choice>
      <mc:Fallback>
        <control shapeId="398458" r:id="rId8" name="ForRetButton"/>
      </mc:Fallback>
    </mc:AlternateContent>
    <mc:AlternateContent xmlns:mc="http://schemas.openxmlformats.org/markup-compatibility/2006">
      <mc:Choice Requires="x14">
        <control shapeId="398438" r:id="rId10" name="BudMasButton">
          <controlPr autoFill="0" autoLine="0" r:id="rId11">
            <anchor moveWithCells="1">
              <from>
                <xdr:col>2</xdr:col>
                <xdr:colOff>28575</xdr:colOff>
                <xdr:row>64</xdr:row>
                <xdr:rowOff>28575</xdr:rowOff>
              </from>
              <to>
                <xdr:col>5</xdr:col>
                <xdr:colOff>2171700</xdr:colOff>
                <xdr:row>64</xdr:row>
                <xdr:rowOff>276225</xdr:rowOff>
              </to>
            </anchor>
          </controlPr>
        </control>
      </mc:Choice>
      <mc:Fallback>
        <control shapeId="398438" r:id="rId10" name="BudMasButton"/>
      </mc:Fallback>
    </mc:AlternateContent>
    <mc:AlternateContent xmlns:mc="http://schemas.openxmlformats.org/markup-compatibility/2006">
      <mc:Choice Requires="x14">
        <control shapeId="398437" r:id="rId12" name="OpSurButton">
          <controlPr autoFill="0" autoLine="0" r:id="rId13">
            <anchor moveWithCells="1">
              <from>
                <xdr:col>2</xdr:col>
                <xdr:colOff>28575</xdr:colOff>
                <xdr:row>63</xdr:row>
                <xdr:rowOff>28575</xdr:rowOff>
              </from>
              <to>
                <xdr:col>5</xdr:col>
                <xdr:colOff>2171700</xdr:colOff>
                <xdr:row>63</xdr:row>
                <xdr:rowOff>276225</xdr:rowOff>
              </to>
            </anchor>
          </controlPr>
        </control>
      </mc:Choice>
      <mc:Fallback>
        <control shapeId="398437" r:id="rId12" name="OpSurButton"/>
      </mc:Fallback>
    </mc:AlternateContent>
    <mc:AlternateContent xmlns:mc="http://schemas.openxmlformats.org/markup-compatibility/2006">
      <mc:Choice Requires="x14">
        <control shapeId="398436" r:id="rId14" name="ForSurButton">
          <controlPr autoFill="0" autoLine="0" r:id="rId15">
            <anchor moveWithCells="1">
              <from>
                <xdr:col>2</xdr:col>
                <xdr:colOff>28575</xdr:colOff>
                <xdr:row>61</xdr:row>
                <xdr:rowOff>38100</xdr:rowOff>
              </from>
              <to>
                <xdr:col>5</xdr:col>
                <xdr:colOff>2171700</xdr:colOff>
                <xdr:row>62</xdr:row>
                <xdr:rowOff>0</xdr:rowOff>
              </to>
            </anchor>
          </controlPr>
        </control>
      </mc:Choice>
      <mc:Fallback>
        <control shapeId="398436" r:id="rId14" name="ForSurButton"/>
      </mc:Fallback>
    </mc:AlternateContent>
    <mc:AlternateContent xmlns:mc="http://schemas.openxmlformats.org/markup-compatibility/2006">
      <mc:Choice Requires="x14">
        <control shapeId="398430" r:id="rId16" name="ForRevButton">
          <controlPr autoFill="0" autoLine="0" r:id="rId17">
            <anchor moveWithCells="1">
              <from>
                <xdr:col>2</xdr:col>
                <xdr:colOff>28575</xdr:colOff>
                <xdr:row>60</xdr:row>
                <xdr:rowOff>28575</xdr:rowOff>
              </from>
              <to>
                <xdr:col>5</xdr:col>
                <xdr:colOff>2171700</xdr:colOff>
                <xdr:row>60</xdr:row>
                <xdr:rowOff>276225</xdr:rowOff>
              </to>
            </anchor>
          </controlPr>
        </control>
      </mc:Choice>
      <mc:Fallback>
        <control shapeId="398430" r:id="rId16" name="ForRevButton"/>
      </mc:Fallback>
    </mc:AlternateContent>
    <mc:AlternateContent xmlns:mc="http://schemas.openxmlformats.org/markup-compatibility/2006">
      <mc:Choice Requires="x14">
        <control shapeId="398429" r:id="rId18" name="PesResButton">
          <controlPr autoFill="0" autoLine="0" r:id="rId19">
            <anchor moveWithCells="1">
              <from>
                <xdr:col>2</xdr:col>
                <xdr:colOff>28575</xdr:colOff>
                <xdr:row>59</xdr:row>
                <xdr:rowOff>28575</xdr:rowOff>
              </from>
              <to>
                <xdr:col>5</xdr:col>
                <xdr:colOff>2171700</xdr:colOff>
                <xdr:row>59</xdr:row>
                <xdr:rowOff>276225</xdr:rowOff>
              </to>
            </anchor>
          </controlPr>
        </control>
      </mc:Choice>
      <mc:Fallback>
        <control shapeId="398429" r:id="rId18" name="PesResButton"/>
      </mc:Fallback>
    </mc:AlternateContent>
    <mc:AlternateContent xmlns:mc="http://schemas.openxmlformats.org/markup-compatibility/2006">
      <mc:Choice Requires="x14">
        <control shapeId="398428" r:id="rId20" name="OptResButton">
          <controlPr autoFill="0" autoLine="0" r:id="rId21">
            <anchor moveWithCells="1">
              <from>
                <xdr:col>2</xdr:col>
                <xdr:colOff>28575</xdr:colOff>
                <xdr:row>58</xdr:row>
                <xdr:rowOff>28575</xdr:rowOff>
              </from>
              <to>
                <xdr:col>5</xdr:col>
                <xdr:colOff>2171700</xdr:colOff>
                <xdr:row>58</xdr:row>
                <xdr:rowOff>276225</xdr:rowOff>
              </to>
            </anchor>
          </controlPr>
        </control>
      </mc:Choice>
      <mc:Fallback>
        <control shapeId="398428" r:id="rId20" name="OptResButton"/>
      </mc:Fallback>
    </mc:AlternateContent>
    <mc:AlternateContent xmlns:mc="http://schemas.openxmlformats.org/markup-compatibility/2006">
      <mc:Choice Requires="x14">
        <control shapeId="398427" r:id="rId22" name="ExpResButton">
          <controlPr autoFill="0" autoLine="0" r:id="rId23">
            <anchor moveWithCells="1">
              <from>
                <xdr:col>2</xdr:col>
                <xdr:colOff>28575</xdr:colOff>
                <xdr:row>57</xdr:row>
                <xdr:rowOff>28575</xdr:rowOff>
              </from>
              <to>
                <xdr:col>5</xdr:col>
                <xdr:colOff>2171700</xdr:colOff>
                <xdr:row>57</xdr:row>
                <xdr:rowOff>276225</xdr:rowOff>
              </to>
            </anchor>
          </controlPr>
        </control>
      </mc:Choice>
      <mc:Fallback>
        <control shapeId="398427" r:id="rId22" name="ExpResButton"/>
      </mc:Fallback>
    </mc:AlternateContent>
    <mc:AlternateContent xmlns:mc="http://schemas.openxmlformats.org/markup-compatibility/2006">
      <mc:Choice Requires="x14">
        <control shapeId="398426" r:id="rId24" name="BudMasChaButton">
          <controlPr autoFill="0" autoLine="0" r:id="rId25">
            <anchor moveWithCells="1">
              <from>
                <xdr:col>2</xdr:col>
                <xdr:colOff>28575</xdr:colOff>
                <xdr:row>65</xdr:row>
                <xdr:rowOff>38100</xdr:rowOff>
              </from>
              <to>
                <xdr:col>5</xdr:col>
                <xdr:colOff>2171700</xdr:colOff>
                <xdr:row>66</xdr:row>
                <xdr:rowOff>0</xdr:rowOff>
              </to>
            </anchor>
          </controlPr>
        </control>
      </mc:Choice>
      <mc:Fallback>
        <control shapeId="398426" r:id="rId24" name="BudMasChaButton"/>
      </mc:Fallback>
    </mc:AlternateContent>
    <mc:AlternateContent xmlns:mc="http://schemas.openxmlformats.org/markup-compatibility/2006">
      <mc:Choice Requires="x14">
        <control shapeId="398425" r:id="rId26" name="SenAnalButton">
          <controlPr autoFill="0" autoLine="0" r:id="rId27">
            <anchor moveWithCells="1">
              <from>
                <xdr:col>2</xdr:col>
                <xdr:colOff>28575</xdr:colOff>
                <xdr:row>56</xdr:row>
                <xdr:rowOff>28575</xdr:rowOff>
              </from>
              <to>
                <xdr:col>5</xdr:col>
                <xdr:colOff>2171700</xdr:colOff>
                <xdr:row>56</xdr:row>
                <xdr:rowOff>276225</xdr:rowOff>
              </to>
            </anchor>
          </controlPr>
        </control>
      </mc:Choice>
      <mc:Fallback>
        <control shapeId="398425" r:id="rId26" name="SenAnal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dimension ref="A1:H35"/>
  <sheetViews>
    <sheetView showGridLines="0" topLeftCell="A4" zoomScaleNormal="100" workbookViewId="0"/>
  </sheetViews>
  <sheetFormatPr defaultRowHeight="12.75" x14ac:dyDescent="0.2"/>
  <cols>
    <col min="1" max="1" width="2.140625" style="4" customWidth="1"/>
    <col min="2" max="2" width="44.5703125" style="4" customWidth="1"/>
    <col min="3" max="7" width="11.7109375" style="4" customWidth="1"/>
    <col min="8" max="8" width="2.140625" style="4" customWidth="1"/>
    <col min="9" max="9" width="10.7109375" style="4" customWidth="1"/>
    <col min="10" max="16384" width="9.140625" style="4"/>
  </cols>
  <sheetData>
    <row r="1" spans="1:8" ht="3.75" hidden="1" customHeight="1" x14ac:dyDescent="0.2">
      <c r="A1" s="66"/>
      <c r="B1" s="66"/>
      <c r="C1" s="66"/>
      <c r="D1" s="66"/>
      <c r="E1" s="66"/>
      <c r="F1" s="66"/>
      <c r="G1" s="67"/>
      <c r="H1" s="67"/>
    </row>
    <row r="2" spans="1:8" s="419" customFormat="1" hidden="1" x14ac:dyDescent="0.2">
      <c r="A2" s="417"/>
      <c r="B2" s="417"/>
      <c r="C2" s="527"/>
      <c r="D2" s="528"/>
      <c r="E2" s="528"/>
      <c r="F2" s="528"/>
      <c r="G2" s="528"/>
      <c r="H2" s="418"/>
    </row>
    <row r="3" spans="1:8" s="422" customFormat="1" ht="25.5" hidden="1" customHeight="1" x14ac:dyDescent="0.2">
      <c r="A3" s="420"/>
      <c r="B3" s="420"/>
      <c r="C3" s="529"/>
      <c r="D3" s="530"/>
      <c r="E3" s="530"/>
      <c r="F3" s="530"/>
      <c r="G3" s="530"/>
      <c r="H3" s="421"/>
    </row>
    <row r="4" spans="1:8" ht="3.75" customHeight="1" x14ac:dyDescent="0.2">
      <c r="A4" s="66"/>
      <c r="B4" s="66"/>
      <c r="C4" s="66"/>
      <c r="D4" s="68"/>
      <c r="E4" s="68"/>
      <c r="F4" s="66"/>
      <c r="G4" s="67"/>
      <c r="H4" s="67"/>
    </row>
    <row r="5" spans="1:8" ht="18" x14ac:dyDescent="0.25">
      <c r="A5" s="66"/>
      <c r="B5" s="531" t="s">
        <v>164</v>
      </c>
      <c r="C5" s="532"/>
      <c r="D5" s="532"/>
      <c r="E5" s="532"/>
      <c r="F5" s="532"/>
      <c r="G5" s="533"/>
      <c r="H5" s="67"/>
    </row>
    <row r="6" spans="1:8" s="71" customFormat="1" ht="25.5" customHeight="1" x14ac:dyDescent="0.2">
      <c r="A6" s="69"/>
      <c r="B6" s="534" t="s">
        <v>107</v>
      </c>
      <c r="C6" s="535"/>
      <c r="D6" s="535"/>
      <c r="E6" s="535"/>
      <c r="F6" s="535"/>
      <c r="G6" s="536"/>
      <c r="H6" s="70"/>
    </row>
    <row r="7" spans="1:8" x14ac:dyDescent="0.2">
      <c r="A7" s="66"/>
      <c r="B7" s="545" t="s">
        <v>166</v>
      </c>
      <c r="C7" s="546"/>
      <c r="D7" s="546"/>
      <c r="E7" s="257">
        <v>0.2</v>
      </c>
      <c r="F7" s="541"/>
      <c r="G7" s="542"/>
      <c r="H7" s="67"/>
    </row>
    <row r="8" spans="1:8" x14ac:dyDescent="0.2">
      <c r="A8" s="66"/>
      <c r="B8" s="545" t="s">
        <v>151</v>
      </c>
      <c r="C8" s="546"/>
      <c r="D8" s="546"/>
      <c r="E8" s="257">
        <v>0.2</v>
      </c>
      <c r="F8" s="543"/>
      <c r="G8" s="544"/>
      <c r="H8" s="67"/>
    </row>
    <row r="9" spans="1:8" ht="25.5" x14ac:dyDescent="0.2">
      <c r="A9" s="66"/>
      <c r="B9" s="73"/>
      <c r="C9" s="43" t="s">
        <v>135</v>
      </c>
      <c r="D9" s="88" t="s">
        <v>136</v>
      </c>
      <c r="E9" s="88" t="s">
        <v>137</v>
      </c>
      <c r="F9" s="88" t="s">
        <v>138</v>
      </c>
      <c r="G9" s="89" t="s">
        <v>142</v>
      </c>
      <c r="H9" s="67"/>
    </row>
    <row r="10" spans="1:8" x14ac:dyDescent="0.2">
      <c r="A10" s="66"/>
      <c r="B10" s="99" t="str">
        <f>+Worksheet!B5</f>
        <v>Business Revenue</v>
      </c>
      <c r="C10" s="79"/>
      <c r="D10" s="76"/>
      <c r="E10" s="76"/>
      <c r="F10" s="76"/>
      <c r="G10" s="72"/>
      <c r="H10" s="67"/>
    </row>
    <row r="11" spans="1:8" x14ac:dyDescent="0.2">
      <c r="A11" s="66"/>
      <c r="B11" s="228" t="s">
        <v>187</v>
      </c>
      <c r="C11" s="80">
        <f>+Worksheet!K5</f>
        <v>500000</v>
      </c>
      <c r="D11" s="80">
        <f>+Worksheet!L5</f>
        <v>579687.5</v>
      </c>
      <c r="E11" s="80">
        <f>+Worksheet!M5</f>
        <v>614468.75</v>
      </c>
      <c r="F11" s="80">
        <f>+Worksheet!N5</f>
        <v>660362.68153526972</v>
      </c>
      <c r="G11" s="80">
        <f>+Worksheet!O5</f>
        <v>618172.9771784232</v>
      </c>
      <c r="H11" s="67"/>
    </row>
    <row r="12" spans="1:8" x14ac:dyDescent="0.2">
      <c r="A12" s="66"/>
      <c r="B12" s="229" t="s">
        <v>167</v>
      </c>
      <c r="C12" s="81">
        <f>+Worksheet!C5</f>
        <v>500000</v>
      </c>
      <c r="D12" s="81">
        <f>+Worksheet!D5</f>
        <v>560679.61165048543</v>
      </c>
      <c r="E12" s="81">
        <f>+Worksheet!E5</f>
        <v>588713.59223300975</v>
      </c>
      <c r="F12" s="81">
        <f>+Worksheet!F5</f>
        <v>625128.8659793816</v>
      </c>
      <c r="G12" s="81">
        <f>+Worksheet!G5</f>
        <v>591507.35662095889</v>
      </c>
      <c r="H12" s="67"/>
    </row>
    <row r="13" spans="1:8" x14ac:dyDescent="0.2">
      <c r="A13" s="66"/>
      <c r="B13" s="229" t="s">
        <v>149</v>
      </c>
      <c r="C13" s="82">
        <f>+Worksheet!R5</f>
        <v>500000</v>
      </c>
      <c r="D13" s="82">
        <f>+Worksheet!S5</f>
        <v>542084.94208494201</v>
      </c>
      <c r="E13" s="82">
        <f>+Worksheet!T5</f>
        <v>563768.33976833976</v>
      </c>
      <c r="F13" s="82">
        <f>+Worksheet!U5</f>
        <v>591494.65156022529</v>
      </c>
      <c r="G13" s="82">
        <f>+Worksheet!V5</f>
        <v>565782.6444711691</v>
      </c>
      <c r="H13" s="67"/>
    </row>
    <row r="14" spans="1:8" x14ac:dyDescent="0.2">
      <c r="A14" s="66"/>
      <c r="B14" s="99" t="str">
        <f>+Worksheet!B43</f>
        <v>Operating Surplus</v>
      </c>
      <c r="C14" s="83"/>
      <c r="D14" s="77"/>
      <c r="E14" s="77"/>
      <c r="F14" s="77"/>
      <c r="G14" s="72"/>
      <c r="H14" s="67"/>
    </row>
    <row r="15" spans="1:8" x14ac:dyDescent="0.2">
      <c r="A15" s="66"/>
      <c r="B15" s="74" t="s">
        <v>187</v>
      </c>
      <c r="C15" s="84">
        <f>+Worksheet!K43</f>
        <v>60000</v>
      </c>
      <c r="D15" s="84">
        <f>+Worksheet!L43</f>
        <v>97031.038851351303</v>
      </c>
      <c r="E15" s="84">
        <f>+Worksheet!M43</f>
        <v>122621.1434194204</v>
      </c>
      <c r="F15" s="84">
        <f>+Worksheet!N43</f>
        <v>129747.972125498</v>
      </c>
      <c r="G15" s="84">
        <f>+Worksheet!O43</f>
        <v>116466.7181320899</v>
      </c>
      <c r="H15" s="67"/>
    </row>
    <row r="16" spans="1:8" x14ac:dyDescent="0.2">
      <c r="A16" s="66"/>
      <c r="B16" s="75" t="s">
        <v>167</v>
      </c>
      <c r="C16" s="85">
        <f>+Worksheet!C43</f>
        <v>60000</v>
      </c>
      <c r="D16" s="85">
        <f>+Worksheet!D43</f>
        <v>88694.622490338515</v>
      </c>
      <c r="E16" s="85">
        <f>+Worksheet!E43</f>
        <v>106169.59067772643</v>
      </c>
      <c r="F16" s="85">
        <f>+Worksheet!F43</f>
        <v>105371.87455054082</v>
      </c>
      <c r="G16" s="85">
        <f>+Worksheet!G43</f>
        <v>100078.69590620192</v>
      </c>
      <c r="H16" s="67"/>
    </row>
    <row r="17" spans="1:8" x14ac:dyDescent="0.2">
      <c r="A17" s="66"/>
      <c r="B17" s="75" t="s">
        <v>149</v>
      </c>
      <c r="C17" s="86">
        <f>+Worksheet!R43</f>
        <v>60000</v>
      </c>
      <c r="D17" s="86">
        <f>+Worksheet!S43</f>
        <v>80604.54874517367</v>
      </c>
      <c r="E17" s="86">
        <f>+Worksheet!T43</f>
        <v>90428.211639824556</v>
      </c>
      <c r="F17" s="86">
        <f>+Worksheet!U43</f>
        <v>82385.728313678061</v>
      </c>
      <c r="G17" s="86">
        <f>+Worksheet!V43</f>
        <v>84472.829566225424</v>
      </c>
      <c r="H17" s="67"/>
    </row>
    <row r="18" spans="1:8" x14ac:dyDescent="0.2">
      <c r="A18" s="66"/>
      <c r="B18" s="229" t="str">
        <f>+Worksheet!B90</f>
        <v>Business Return</v>
      </c>
      <c r="C18" s="87"/>
      <c r="D18" s="78"/>
      <c r="E18" s="78"/>
      <c r="F18" s="78"/>
      <c r="G18" s="72"/>
      <c r="H18" s="67"/>
    </row>
    <row r="19" spans="1:8" x14ac:dyDescent="0.2">
      <c r="A19" s="66"/>
      <c r="B19" s="74" t="s">
        <v>187</v>
      </c>
      <c r="C19" s="84">
        <f>+Worksheet!K49</f>
        <v>47500</v>
      </c>
      <c r="D19" s="84">
        <f>+Worksheet!L49</f>
        <v>84032.991976351303</v>
      </c>
      <c r="E19" s="84">
        <f>+Worksheet!M49</f>
        <v>109405.7137319204</v>
      </c>
      <c r="F19" s="84">
        <f>+Worksheet!N49</f>
        <v>116245.70536590256</v>
      </c>
      <c r="G19" s="84">
        <f>+Worksheet!O49</f>
        <v>103228.13702472475</v>
      </c>
      <c r="H19" s="67"/>
    </row>
    <row r="20" spans="1:8" x14ac:dyDescent="0.2">
      <c r="A20" s="66"/>
      <c r="B20" s="75" t="s">
        <v>167</v>
      </c>
      <c r="C20" s="85">
        <f>+Worksheet!C49</f>
        <v>47500</v>
      </c>
      <c r="D20" s="85">
        <f>+Worksheet!D49</f>
        <v>75815.374917522975</v>
      </c>
      <c r="E20" s="85">
        <f>+Worksheet!E49</f>
        <v>93115.130726270116</v>
      </c>
      <c r="F20" s="85">
        <f>+Worksheet!F49</f>
        <v>92089.819138169682</v>
      </c>
      <c r="G20" s="85">
        <f>+Worksheet!G49</f>
        <v>87006.774927320934</v>
      </c>
      <c r="H20" s="67"/>
    </row>
    <row r="21" spans="1:8" x14ac:dyDescent="0.2">
      <c r="A21" s="66"/>
      <c r="B21" s="75" t="s">
        <v>149</v>
      </c>
      <c r="C21" s="86">
        <f>+Worksheet!R49</f>
        <v>47500</v>
      </c>
      <c r="D21" s="86">
        <f>+Worksheet!S49</f>
        <v>67841.517857142782</v>
      </c>
      <c r="E21" s="86">
        <f>+Worksheet!T49</f>
        <v>77529.659516272426</v>
      </c>
      <c r="F21" s="86">
        <f>+Worksheet!U49</f>
        <v>69313.886741426657</v>
      </c>
      <c r="G21" s="86">
        <f>+Worksheet!V49</f>
        <v>71561.688038280627</v>
      </c>
      <c r="H21" s="67"/>
    </row>
    <row r="22" spans="1:8" x14ac:dyDescent="0.2">
      <c r="A22" s="66"/>
      <c r="B22" s="538" t="s">
        <v>184</v>
      </c>
      <c r="C22" s="539"/>
      <c r="D22" s="539"/>
      <c r="E22" s="539"/>
      <c r="F22" s="539"/>
      <c r="G22" s="540"/>
      <c r="H22" s="67"/>
    </row>
    <row r="23" spans="1:8" x14ac:dyDescent="0.2">
      <c r="A23" s="66"/>
      <c r="B23" s="90" t="s">
        <v>154</v>
      </c>
      <c r="C23" s="65">
        <f>+G20</f>
        <v>87006.774927320934</v>
      </c>
      <c r="D23" s="64" t="s">
        <v>185</v>
      </c>
      <c r="E23" s="91"/>
      <c r="F23" s="91"/>
      <c r="G23" s="221"/>
      <c r="H23" s="67"/>
    </row>
    <row r="24" spans="1:8" x14ac:dyDescent="0.2">
      <c r="A24" s="66"/>
      <c r="B24" s="90" t="s">
        <v>150</v>
      </c>
      <c r="C24" s="413">
        <f>+G19</f>
        <v>103228.13702472475</v>
      </c>
      <c r="D24" s="414" t="s">
        <v>186</v>
      </c>
      <c r="E24" s="415">
        <f>+G21</f>
        <v>71561.688038280627</v>
      </c>
      <c r="F24" s="91" t="s">
        <v>185</v>
      </c>
      <c r="G24" s="416"/>
      <c r="H24" s="67"/>
    </row>
    <row r="25" spans="1:8" x14ac:dyDescent="0.2">
      <c r="A25" s="3"/>
      <c r="B25" s="537"/>
      <c r="C25" s="537"/>
      <c r="D25" s="537"/>
      <c r="E25" s="537"/>
      <c r="F25" s="537"/>
      <c r="G25" s="537"/>
      <c r="H25" s="3"/>
    </row>
    <row r="26" spans="1:8" ht="18" x14ac:dyDescent="0.2">
      <c r="A26" s="3"/>
      <c r="B26" s="483"/>
      <c r="C26" s="523"/>
      <c r="D26" s="523"/>
      <c r="E26" s="523"/>
      <c r="F26" s="523"/>
      <c r="G26" s="523"/>
      <c r="H26" s="3"/>
    </row>
    <row r="27" spans="1:8" ht="18" x14ac:dyDescent="0.2">
      <c r="A27" s="3"/>
      <c r="B27" s="483"/>
      <c r="C27" s="483"/>
      <c r="D27" s="483"/>
      <c r="E27" s="483"/>
      <c r="F27" s="483"/>
      <c r="G27" s="483"/>
      <c r="H27" s="3"/>
    </row>
    <row r="28" spans="1:8" ht="18" x14ac:dyDescent="0.2">
      <c r="A28" s="3"/>
      <c r="B28" s="524"/>
      <c r="C28" s="524"/>
      <c r="D28" s="524"/>
      <c r="E28" s="524"/>
      <c r="F28" s="524"/>
      <c r="G28" s="524"/>
      <c r="H28" s="3"/>
    </row>
    <row r="29" spans="1:8" ht="18" x14ac:dyDescent="0.2">
      <c r="A29" s="3"/>
      <c r="B29" s="525"/>
      <c r="C29" s="525"/>
      <c r="D29" s="525"/>
      <c r="E29" s="525"/>
      <c r="F29" s="525"/>
      <c r="G29" s="525"/>
      <c r="H29" s="3"/>
    </row>
    <row r="30" spans="1:8" ht="18" x14ac:dyDescent="0.2">
      <c r="A30" s="3"/>
      <c r="B30" s="526"/>
      <c r="C30" s="526"/>
      <c r="D30" s="526"/>
      <c r="E30" s="526"/>
      <c r="F30" s="526"/>
      <c r="G30" s="526"/>
      <c r="H30" s="3"/>
    </row>
    <row r="31" spans="1:8" ht="18" x14ac:dyDescent="0.2">
      <c r="A31" s="3"/>
      <c r="B31" s="520"/>
      <c r="C31" s="520"/>
      <c r="D31" s="520"/>
      <c r="E31" s="520"/>
      <c r="F31" s="520"/>
      <c r="G31" s="520"/>
      <c r="H31" s="3"/>
    </row>
    <row r="32" spans="1:8" ht="18" x14ac:dyDescent="0.2">
      <c r="A32" s="3"/>
      <c r="B32" s="521"/>
      <c r="C32" s="521"/>
      <c r="D32" s="521"/>
      <c r="E32" s="521"/>
      <c r="F32" s="521"/>
      <c r="G32" s="521"/>
      <c r="H32" s="3"/>
    </row>
    <row r="33" spans="1:8" ht="18" x14ac:dyDescent="0.2">
      <c r="A33" s="3"/>
      <c r="B33" s="475"/>
      <c r="C33" s="475"/>
      <c r="D33" s="475"/>
      <c r="E33" s="475"/>
      <c r="F33" s="475"/>
      <c r="G33" s="475"/>
      <c r="H33" s="3"/>
    </row>
    <row r="34" spans="1:8" x14ac:dyDescent="0.2">
      <c r="A34" s="3"/>
      <c r="B34" s="522"/>
      <c r="C34" s="522"/>
      <c r="D34" s="522"/>
      <c r="E34" s="522"/>
      <c r="F34" s="522"/>
      <c r="G34" s="522"/>
      <c r="H34" s="3"/>
    </row>
    <row r="35" spans="1:8" x14ac:dyDescent="0.2">
      <c r="A35" s="3"/>
      <c r="B35" s="3"/>
      <c r="C35" s="3"/>
      <c r="D35" s="3"/>
      <c r="E35" s="3"/>
      <c r="F35" s="3"/>
      <c r="G35" s="3"/>
      <c r="H35" s="3"/>
    </row>
  </sheetData>
  <sheetProtection algorithmName="SHA-512" hashValue="vR5FF1P/gwekuA8XeqoIPGJmsrO7g8fbieGIuAKXJ6t9KDPYyM97R+ar08d6Kdh5aFn4jTW6AymLQuATyO6gEQ==" saltValue="FVFlC1oRV6VpKlqgCktkmg==" spinCount="100000" sheet="1" objects="1" scenarios="1" formatCells="0" formatColumns="0" formatRows="0"/>
  <mergeCells count="18">
    <mergeCell ref="C2:G2"/>
    <mergeCell ref="C3:G3"/>
    <mergeCell ref="B5:G5"/>
    <mergeCell ref="B6:G6"/>
    <mergeCell ref="B25:G25"/>
    <mergeCell ref="B22:G22"/>
    <mergeCell ref="F7:G8"/>
    <mergeCell ref="B7:D7"/>
    <mergeCell ref="B8:D8"/>
    <mergeCell ref="B31:G31"/>
    <mergeCell ref="B32:G32"/>
    <mergeCell ref="B33:G33"/>
    <mergeCell ref="B34:G34"/>
    <mergeCell ref="B26:G26"/>
    <mergeCell ref="B28:G28"/>
    <mergeCell ref="B29:G29"/>
    <mergeCell ref="B30:G30"/>
    <mergeCell ref="B27:G27"/>
  </mergeCells>
  <phoneticPr fontId="0" type="noConversion"/>
  <hyperlinks>
    <hyperlink ref="B7:D7" location="Instructions!B47" tooltip="Go to Instruction Sheet" display="Optimistic, improve the variation of all Relative Indicators by" xr:uid="{00000000-0004-0000-0300-000000000000}"/>
    <hyperlink ref="B8:D8" location="Instructions!B48" tooltip="Go to Instruction Sheet" display="Pessimistic, degrade the variation of all Relative Indicators by" xr:uid="{00000000-0004-0000-0300-000001000000}"/>
    <hyperlink ref="B10" location="Instructions!B49" tooltip="Go to Instruction Sheet" display="Instructions!B49" xr:uid="{00000000-0004-0000-0300-000002000000}"/>
    <hyperlink ref="B11" location="Instructions!B50" tooltip="Go to Instruction Sheet" display="Optimistic" xr:uid="{00000000-0004-0000-0300-000003000000}"/>
    <hyperlink ref="B12" location="Instructions!B51" tooltip="Go to Instruction Sheet" display="Expected" xr:uid="{00000000-0004-0000-0300-000004000000}"/>
    <hyperlink ref="B13" location="Instructions!B52" tooltip="Go to Instruction Sheet" display="Pessimistic" xr:uid="{00000000-0004-0000-0300-000005000000}"/>
    <hyperlink ref="B14" location="Instructions!B53" tooltip="Go to Instruction Sheet" display="Instructions!B53" xr:uid="{00000000-0004-0000-0300-000006000000}"/>
    <hyperlink ref="B18" location="Instructions!B54" tooltip="Go to Instruction Sheet" display="Instructions!B54" xr:uid="{00000000-0004-0000-0300-000007000000}"/>
  </hyperlinks>
  <pageMargins left="0.75" right="0.75" top="1" bottom="1" header="0.5" footer="0.5"/>
  <pageSetup paperSize="9" scale="83" orientation="portrait" horizontalDpi="360" verticalDpi="0" copies="0"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63"/>
  <sheetViews>
    <sheetView showGridLines="0" zoomScaleNormal="100" workbookViewId="0"/>
  </sheetViews>
  <sheetFormatPr defaultRowHeight="12.75" x14ac:dyDescent="0.2"/>
  <cols>
    <col min="1" max="1" width="2.28515625" customWidth="1"/>
    <col min="2" max="2" width="39.140625" customWidth="1"/>
    <col min="3" max="7" width="12.7109375" customWidth="1"/>
    <col min="8" max="8" width="4.28515625" customWidth="1"/>
  </cols>
  <sheetData>
    <row r="1" spans="1:8" ht="3.75" customHeight="1" x14ac:dyDescent="0.2">
      <c r="A1" s="2"/>
      <c r="B1" s="2"/>
      <c r="C1" s="2"/>
      <c r="D1" s="2"/>
      <c r="E1" s="2"/>
      <c r="F1" s="2"/>
      <c r="G1" s="2"/>
      <c r="H1" s="2"/>
    </row>
    <row r="2" spans="1:8" ht="18" x14ac:dyDescent="0.25">
      <c r="A2" s="3"/>
      <c r="B2" s="531" t="s">
        <v>105</v>
      </c>
      <c r="C2" s="532"/>
      <c r="D2" s="532"/>
      <c r="E2" s="532"/>
      <c r="F2" s="532"/>
      <c r="G2" s="533"/>
      <c r="H2" s="3"/>
    </row>
    <row r="3" spans="1:8" x14ac:dyDescent="0.2">
      <c r="A3" s="18"/>
      <c r="B3" s="213" t="str">
        <f>Worksheet!B2</f>
        <v>Expected Forecast</v>
      </c>
      <c r="C3" s="214"/>
      <c r="D3" s="214"/>
      <c r="E3" s="214"/>
      <c r="F3" s="215"/>
      <c r="G3" s="216"/>
      <c r="H3" s="23"/>
    </row>
    <row r="4" spans="1:8" x14ac:dyDescent="0.2">
      <c r="A4" s="18"/>
      <c r="B4" s="143" t="str">
        <f>Worksheet!B3</f>
        <v>Acme Widgets</v>
      </c>
      <c r="C4" s="214"/>
      <c r="D4" s="214"/>
      <c r="E4" s="214"/>
      <c r="F4" s="215"/>
      <c r="G4" s="216"/>
      <c r="H4" s="23"/>
    </row>
    <row r="5" spans="1:8" ht="25.5" x14ac:dyDescent="0.2">
      <c r="A5" s="18"/>
      <c r="B5" s="147"/>
      <c r="C5" s="43" t="str">
        <f>Worksheet!C4</f>
        <v>Current Year</v>
      </c>
      <c r="D5" s="148" t="str">
        <f>Worksheet!D4</f>
        <v>Year 1</v>
      </c>
      <c r="E5" s="148" t="str">
        <f>Worksheet!E4</f>
        <v>Year 2</v>
      </c>
      <c r="F5" s="148" t="str">
        <f>Worksheet!F4</f>
        <v>Year 3</v>
      </c>
      <c r="G5" s="44" t="str">
        <f>Worksheet!G4</f>
        <v>3 Year Average</v>
      </c>
      <c r="H5" s="3"/>
    </row>
    <row r="6" spans="1:8" x14ac:dyDescent="0.2">
      <c r="A6" s="18"/>
      <c r="B6" s="143" t="str">
        <f>Worksheet!B5</f>
        <v>Business Revenue</v>
      </c>
      <c r="C6" s="212">
        <f>Worksheet!C5</f>
        <v>500000</v>
      </c>
      <c r="D6" s="46">
        <f>Worksheet!D5</f>
        <v>560679.61165048543</v>
      </c>
      <c r="E6" s="47">
        <f>Worksheet!E5</f>
        <v>588713.59223300975</v>
      </c>
      <c r="F6" s="48">
        <f>Worksheet!F5</f>
        <v>625128.8659793816</v>
      </c>
      <c r="G6" s="212">
        <f>Worksheet!G5</f>
        <v>591507.35662095889</v>
      </c>
      <c r="H6" s="53"/>
    </row>
    <row r="7" spans="1:8" x14ac:dyDescent="0.2">
      <c r="A7" s="18"/>
      <c r="B7" s="143" t="str">
        <f>Worksheet!B6</f>
        <v>Expenses</v>
      </c>
      <c r="C7" s="24"/>
      <c r="D7" s="25"/>
      <c r="E7" s="26"/>
      <c r="F7" s="27"/>
      <c r="G7" s="63"/>
      <c r="H7" s="53"/>
    </row>
    <row r="8" spans="1:8" x14ac:dyDescent="0.2">
      <c r="A8" s="18"/>
      <c r="B8" s="143" t="str">
        <f>Worksheet!B7</f>
        <v>Variable Costs</v>
      </c>
      <c r="C8" s="28"/>
      <c r="D8" s="29"/>
      <c r="E8" s="29"/>
      <c r="F8" s="28"/>
      <c r="G8" s="63"/>
      <c r="H8" s="53"/>
    </row>
    <row r="9" spans="1:8" x14ac:dyDescent="0.2">
      <c r="A9" s="18"/>
      <c r="B9" s="144" t="str">
        <f>Worksheet!B8</f>
        <v>Materials &amp; Supplies</v>
      </c>
      <c r="C9" s="50">
        <f>Worksheet!C8</f>
        <v>10000</v>
      </c>
      <c r="D9" s="49">
        <f>Worksheet!D8</f>
        <v>11431.331888019608</v>
      </c>
      <c r="E9" s="49">
        <f>Worksheet!E8</f>
        <v>12002.898482420587</v>
      </c>
      <c r="F9" s="50">
        <f>Worksheet!F8</f>
        <v>12745.345811230112</v>
      </c>
      <c r="G9" s="212">
        <f>Worksheet!G8</f>
        <v>12059.858727223434</v>
      </c>
      <c r="H9" s="55"/>
    </row>
    <row r="10" spans="1:8" x14ac:dyDescent="0.2">
      <c r="A10" s="18"/>
      <c r="B10" s="33" t="str">
        <f>Worksheet!B9</f>
        <v>% Revenue</v>
      </c>
      <c r="C10" s="34">
        <f>Worksheet!C9</f>
        <v>0.02</v>
      </c>
      <c r="D10" s="35">
        <f>Worksheet!D9</f>
        <v>2.0388349514563111E-2</v>
      </c>
      <c r="E10" s="35">
        <f>Worksheet!E9</f>
        <v>2.0388349514563107E-2</v>
      </c>
      <c r="F10" s="34">
        <f>Worksheet!F9</f>
        <v>2.0388349514563111E-2</v>
      </c>
      <c r="G10" s="34">
        <f>Worksheet!G9</f>
        <v>2.0388349514563107E-2</v>
      </c>
      <c r="H10" s="55"/>
    </row>
    <row r="11" spans="1:8" x14ac:dyDescent="0.2">
      <c r="A11" s="18"/>
      <c r="B11" s="144" t="str">
        <f>Worksheet!B10</f>
        <v>Labor excluding Owner</v>
      </c>
      <c r="C11" s="50">
        <f>Worksheet!C10</f>
        <v>200000</v>
      </c>
      <c r="D11" s="49">
        <f>Worksheet!D10</f>
        <v>222477.96682062396</v>
      </c>
      <c r="E11" s="49">
        <f>Worksheet!E10</f>
        <v>229085.76170759567</v>
      </c>
      <c r="F11" s="50">
        <f>Worksheet!F10</f>
        <v>258404.25030321415</v>
      </c>
      <c r="G11" s="212">
        <f>Worksheet!G10</f>
        <v>236655.99294381126</v>
      </c>
      <c r="H11" s="55"/>
    </row>
    <row r="12" spans="1:8" x14ac:dyDescent="0.2">
      <c r="A12" s="18"/>
      <c r="B12" s="33" t="str">
        <f>Worksheet!B11</f>
        <v>% Revenue</v>
      </c>
      <c r="C12" s="34">
        <f>Worksheet!C11</f>
        <v>0.4</v>
      </c>
      <c r="D12" s="35">
        <f>Worksheet!D11</f>
        <v>0.39680052956751977</v>
      </c>
      <c r="E12" s="35">
        <f>Worksheet!E11</f>
        <v>0.38912939115039952</v>
      </c>
      <c r="F12" s="34">
        <f>Worksheet!F11</f>
        <v>0.41336157129518475</v>
      </c>
      <c r="G12" s="34">
        <f>Worksheet!G11</f>
        <v>0.40008968661984318</v>
      </c>
      <c r="H12" s="54"/>
    </row>
    <row r="13" spans="1:8" x14ac:dyDescent="0.2">
      <c r="A13" s="18"/>
      <c r="B13" s="144" t="str">
        <f>Worksheet!B12</f>
        <v>Labor Owner</v>
      </c>
      <c r="C13" s="50">
        <f>Worksheet!C12</f>
        <v>50000</v>
      </c>
      <c r="D13" s="49">
        <f>Worksheet!D12</f>
        <v>49696.601941747576</v>
      </c>
      <c r="E13" s="49">
        <f>Worksheet!E12</f>
        <v>51254.044117647063</v>
      </c>
      <c r="F13" s="50">
        <f>Worksheet!F12</f>
        <v>54160.182686476648</v>
      </c>
      <c r="G13" s="212">
        <f>Worksheet!G12</f>
        <v>51703.609581957098</v>
      </c>
      <c r="H13" s="55"/>
    </row>
    <row r="14" spans="1:8" x14ac:dyDescent="0.2">
      <c r="A14" s="18"/>
      <c r="B14" s="33" t="str">
        <f>Worksheet!B13</f>
        <v>% Revenue</v>
      </c>
      <c r="C14" s="34">
        <f>Worksheet!C13</f>
        <v>0.1</v>
      </c>
      <c r="D14" s="35">
        <f>Worksheet!D13</f>
        <v>8.8636363636363638E-2</v>
      </c>
      <c r="E14" s="35">
        <f>Worksheet!E13</f>
        <v>8.7061085040076633E-2</v>
      </c>
      <c r="F14" s="34">
        <f>Worksheet!F13</f>
        <v>8.6638428704815224E-2</v>
      </c>
      <c r="G14" s="34">
        <f>Worksheet!G13</f>
        <v>8.7409918073240556E-2</v>
      </c>
      <c r="H14" s="54"/>
    </row>
    <row r="15" spans="1:8" x14ac:dyDescent="0.2">
      <c r="A15" s="18"/>
      <c r="B15" s="144" t="str">
        <f>Worksheet!B14</f>
        <v>Distribution</v>
      </c>
      <c r="C15" s="50">
        <f>Worksheet!C14</f>
        <v>20000</v>
      </c>
      <c r="D15" s="49">
        <f>Worksheet!D14</f>
        <v>21773.965500989725</v>
      </c>
      <c r="E15" s="49">
        <f>Worksheet!E14</f>
        <v>21773.965500989729</v>
      </c>
      <c r="F15" s="50">
        <f>Worksheet!F14</f>
        <v>23120.808727855074</v>
      </c>
      <c r="G15" s="212">
        <f>Worksheet!G14</f>
        <v>22222.913243278173</v>
      </c>
      <c r="H15" s="55"/>
    </row>
    <row r="16" spans="1:8" x14ac:dyDescent="0.2">
      <c r="A16" s="18"/>
      <c r="B16" s="33" t="str">
        <f>Worksheet!B15</f>
        <v>% Revenue</v>
      </c>
      <c r="C16" s="34">
        <f>Worksheet!C15</f>
        <v>0.04</v>
      </c>
      <c r="D16" s="35">
        <f>Worksheet!D15</f>
        <v>3.8834951456310676E-2</v>
      </c>
      <c r="E16" s="35">
        <f>Worksheet!E15</f>
        <v>3.6985668053629218E-2</v>
      </c>
      <c r="F16" s="34">
        <f>Worksheet!F15</f>
        <v>3.6985668053629218E-2</v>
      </c>
      <c r="G16" s="34">
        <f>Worksheet!G15</f>
        <v>3.7569969324183293E-2</v>
      </c>
      <c r="H16" s="54"/>
    </row>
    <row r="17" spans="1:8" x14ac:dyDescent="0.2">
      <c r="A17" s="18"/>
      <c r="B17" s="144" t="str">
        <f>Worksheet!B16</f>
        <v>Marketing</v>
      </c>
      <c r="C17" s="50">
        <f>Worksheet!C16</f>
        <v>10000</v>
      </c>
      <c r="D17" s="49">
        <f>Worksheet!D16</f>
        <v>10886.982750494863</v>
      </c>
      <c r="E17" s="49">
        <f>Worksheet!E16</f>
        <v>10886.982750494864</v>
      </c>
      <c r="F17" s="50">
        <f>Worksheet!F16</f>
        <v>11560.404363927537</v>
      </c>
      <c r="G17" s="212">
        <f>Worksheet!G16</f>
        <v>11111.456621639087</v>
      </c>
      <c r="H17" s="55"/>
    </row>
    <row r="18" spans="1:8" x14ac:dyDescent="0.2">
      <c r="A18" s="18"/>
      <c r="B18" s="33" t="str">
        <f>Worksheet!B17</f>
        <v>% Revenue</v>
      </c>
      <c r="C18" s="34">
        <f>Worksheet!C17</f>
        <v>0.02</v>
      </c>
      <c r="D18" s="35">
        <f>Worksheet!D17</f>
        <v>1.9417475728155338E-2</v>
      </c>
      <c r="E18" s="35">
        <f>Worksheet!E17</f>
        <v>1.8492834026814609E-2</v>
      </c>
      <c r="F18" s="34">
        <f>Worksheet!F17</f>
        <v>1.8492834026814609E-2</v>
      </c>
      <c r="G18" s="34">
        <f>Worksheet!G17</f>
        <v>1.8784984662091646E-2</v>
      </c>
      <c r="H18" s="54"/>
    </row>
    <row r="19" spans="1:8" x14ac:dyDescent="0.2">
      <c r="A19" s="18"/>
      <c r="B19" s="144" t="str">
        <f>Worksheet!B18</f>
        <v>Other</v>
      </c>
      <c r="C19" s="50">
        <f>Worksheet!C18</f>
        <v>20000</v>
      </c>
      <c r="D19" s="50">
        <f>Worksheet!D18</f>
        <v>21773.965500989725</v>
      </c>
      <c r="E19" s="50">
        <f>Worksheet!E18</f>
        <v>21773.965500989729</v>
      </c>
      <c r="F19" s="50">
        <f>Worksheet!F18</f>
        <v>23120.808727855074</v>
      </c>
      <c r="G19" s="212">
        <f>Worksheet!G18</f>
        <v>22222.913243278173</v>
      </c>
      <c r="H19" s="55"/>
    </row>
    <row r="20" spans="1:8" x14ac:dyDescent="0.2">
      <c r="A20" s="18"/>
      <c r="B20" s="33" t="str">
        <f>Worksheet!B19</f>
        <v>% Revenue</v>
      </c>
      <c r="C20" s="34">
        <f>Worksheet!C19</f>
        <v>0.04</v>
      </c>
      <c r="D20" s="35">
        <f>Worksheet!D19</f>
        <v>3.8834951456310676E-2</v>
      </c>
      <c r="E20" s="35">
        <f>Worksheet!E19</f>
        <v>3.6985668053629218E-2</v>
      </c>
      <c r="F20" s="34">
        <f>Worksheet!F19</f>
        <v>3.6985668053629218E-2</v>
      </c>
      <c r="G20" s="34">
        <f>Worksheet!G19</f>
        <v>3.7569969324183293E-2</v>
      </c>
      <c r="H20" s="54"/>
    </row>
    <row r="21" spans="1:8" x14ac:dyDescent="0.2">
      <c r="A21" s="18"/>
      <c r="B21" s="144" t="str">
        <f>Worksheet!B20</f>
        <v>Total Variable Costs</v>
      </c>
      <c r="C21" s="51">
        <f>Worksheet!C20</f>
        <v>310000</v>
      </c>
      <c r="D21" s="51">
        <f>Worksheet!D20</f>
        <v>338040.81440286536</v>
      </c>
      <c r="E21" s="51">
        <f>Worksheet!E20</f>
        <v>346777.61806013767</v>
      </c>
      <c r="F21" s="51">
        <f>Worksheet!F20</f>
        <v>383111.80062055867</v>
      </c>
      <c r="G21" s="51">
        <f>Worksheet!G20</f>
        <v>355976.74436118727</v>
      </c>
      <c r="H21" s="58"/>
    </row>
    <row r="22" spans="1:8" x14ac:dyDescent="0.2">
      <c r="A22" s="18"/>
      <c r="B22" s="33" t="str">
        <f>Worksheet!B21</f>
        <v>Total Variable Costs %</v>
      </c>
      <c r="C22" s="34">
        <f>Worksheet!C21</f>
        <v>0.62</v>
      </c>
      <c r="D22" s="34">
        <f>Worksheet!D21</f>
        <v>0.60291262135922308</v>
      </c>
      <c r="E22" s="34">
        <f>Worksheet!E21</f>
        <v>0.58904299583911235</v>
      </c>
      <c r="F22" s="34">
        <f>Worksheet!F21</f>
        <v>0.6128525196486363</v>
      </c>
      <c r="G22" s="34">
        <f>Worksheet!G21</f>
        <v>0.60181287751810519</v>
      </c>
      <c r="H22" s="53"/>
    </row>
    <row r="23" spans="1:8" x14ac:dyDescent="0.2">
      <c r="A23" s="18"/>
      <c r="B23" s="30" t="str">
        <f>Worksheet!B22</f>
        <v>Gross Profit</v>
      </c>
      <c r="C23" s="36">
        <f>Worksheet!C22</f>
        <v>190000</v>
      </c>
      <c r="D23" s="36">
        <f>Worksheet!D22</f>
        <v>222638.79724762007</v>
      </c>
      <c r="E23" s="36">
        <f>Worksheet!E22</f>
        <v>241935.97417287208</v>
      </c>
      <c r="F23" s="36">
        <f>Worksheet!F22</f>
        <v>242017.06535882293</v>
      </c>
      <c r="G23" s="36">
        <f>Worksheet!G22</f>
        <v>235530.61225977162</v>
      </c>
      <c r="H23" s="53"/>
    </row>
    <row r="24" spans="1:8" x14ac:dyDescent="0.2">
      <c r="A24" s="18"/>
      <c r="B24" s="33" t="str">
        <f>Worksheet!B23</f>
        <v>Gross Profit %</v>
      </c>
      <c r="C24" s="34">
        <f>Worksheet!C23</f>
        <v>0.38</v>
      </c>
      <c r="D24" s="34">
        <f>Worksheet!D23</f>
        <v>0.39708737864077692</v>
      </c>
      <c r="E24" s="34">
        <f>Worksheet!E23</f>
        <v>0.4109570041608876</v>
      </c>
      <c r="F24" s="34">
        <f>Worksheet!F23</f>
        <v>0.38714748035136376</v>
      </c>
      <c r="G24" s="34">
        <f>Worksheet!G23</f>
        <v>0.39818712248189486</v>
      </c>
      <c r="H24" s="53"/>
    </row>
    <row r="25" spans="1:8" x14ac:dyDescent="0.2">
      <c r="A25" s="18"/>
      <c r="B25" s="33" t="str">
        <f>Worksheet!B24</f>
        <v>Mark-up Equivalent</v>
      </c>
      <c r="C25" s="34">
        <f>Worksheet!C24</f>
        <v>0.61290322580645151</v>
      </c>
      <c r="D25" s="35">
        <f>Worksheet!D24</f>
        <v>0.65861513687600715</v>
      </c>
      <c r="E25" s="35">
        <f>Worksheet!E24</f>
        <v>0.69766894278314084</v>
      </c>
      <c r="F25" s="34">
        <f>Worksheet!F24</f>
        <v>0.63171394085697008</v>
      </c>
      <c r="G25" s="34">
        <f>Worksheet!G24</f>
        <v>0.66164606534182324</v>
      </c>
      <c r="H25" s="53"/>
    </row>
    <row r="26" spans="1:8" x14ac:dyDescent="0.2">
      <c r="A26" s="18"/>
      <c r="B26" s="143" t="str">
        <f>Worksheet!B25</f>
        <v>Fixed Costs</v>
      </c>
      <c r="C26" s="28"/>
      <c r="D26" s="39"/>
      <c r="E26" s="39"/>
      <c r="F26" s="28"/>
      <c r="G26" s="28"/>
      <c r="H26" s="53"/>
    </row>
    <row r="27" spans="1:8" x14ac:dyDescent="0.2">
      <c r="A27" s="18"/>
      <c r="B27" s="144" t="str">
        <f>Worksheet!B26</f>
        <v>Location</v>
      </c>
      <c r="C27" s="50">
        <f>Worksheet!C26</f>
        <v>40000</v>
      </c>
      <c r="D27" s="49">
        <f>Worksheet!D26</f>
        <v>41213.592233009709</v>
      </c>
      <c r="E27" s="49">
        <f>Worksheet!E26</f>
        <v>41774.271844660194</v>
      </c>
      <c r="F27" s="50">
        <f>Worksheet!F26</f>
        <v>42502.577319587632</v>
      </c>
      <c r="G27" s="212">
        <f>Worksheet!G26</f>
        <v>41830.147132419173</v>
      </c>
      <c r="H27" s="53"/>
    </row>
    <row r="28" spans="1:8" x14ac:dyDescent="0.2">
      <c r="A28" s="18"/>
      <c r="B28" s="33" t="str">
        <f>Worksheet!B27</f>
        <v>% Revenue</v>
      </c>
      <c r="C28" s="34">
        <f>Worksheet!C27</f>
        <v>0.08</v>
      </c>
      <c r="D28" s="35">
        <f>Worksheet!D27</f>
        <v>7.3506493506493506E-2</v>
      </c>
      <c r="E28" s="35">
        <f>Worksheet!E27</f>
        <v>7.0958565244279528E-2</v>
      </c>
      <c r="F28" s="34">
        <f>Worksheet!F27</f>
        <v>6.7990105132962261E-2</v>
      </c>
      <c r="G28" s="34">
        <f>Worksheet!G27</f>
        <v>7.0717881467067131E-2</v>
      </c>
      <c r="H28" s="53"/>
    </row>
    <row r="29" spans="1:8" x14ac:dyDescent="0.2">
      <c r="A29" s="18"/>
      <c r="B29" s="144" t="str">
        <f>Worksheet!B28</f>
        <v>Administration</v>
      </c>
      <c r="C29" s="50">
        <f>Worksheet!C28</f>
        <v>30000</v>
      </c>
      <c r="D29" s="49">
        <f>Worksheet!D28</f>
        <v>30910.194174757282</v>
      </c>
      <c r="E29" s="49">
        <f>Worksheet!E28</f>
        <v>30716.376356367789</v>
      </c>
      <c r="F29" s="50">
        <f>Worksheet!F28</f>
        <v>29763.709607554363</v>
      </c>
      <c r="G29" s="212">
        <f>Worksheet!G28</f>
        <v>30463.426712893142</v>
      </c>
      <c r="H29" s="53"/>
    </row>
    <row r="30" spans="1:8" x14ac:dyDescent="0.2">
      <c r="A30" s="18"/>
      <c r="B30" s="33" t="str">
        <f>Worksheet!B29</f>
        <v>% Revenue</v>
      </c>
      <c r="C30" s="34">
        <f>Worksheet!C29</f>
        <v>0.06</v>
      </c>
      <c r="D30" s="35">
        <f>Worksheet!D29</f>
        <v>5.5129870129870133E-2</v>
      </c>
      <c r="E30" s="35">
        <f>Worksheet!E29</f>
        <v>5.2175415620793766E-2</v>
      </c>
      <c r="F30" s="34">
        <f>Worksheet!F29</f>
        <v>4.7612118440449762E-2</v>
      </c>
      <c r="G30" s="34">
        <f>Worksheet!G29</f>
        <v>5.150134883684003E-2</v>
      </c>
      <c r="H30" s="53"/>
    </row>
    <row r="31" spans="1:8" x14ac:dyDescent="0.2">
      <c r="A31" s="18"/>
      <c r="B31" s="144" t="str">
        <f>Worksheet!B30</f>
        <v>Labor excluding Owner</v>
      </c>
      <c r="C31" s="50">
        <f>Worksheet!C30</f>
        <v>50000</v>
      </c>
      <c r="D31" s="49">
        <f>Worksheet!D30</f>
        <v>51516.990291262133</v>
      </c>
      <c r="E31" s="49">
        <f>Worksheet!E30</f>
        <v>52729.779411764714</v>
      </c>
      <c r="F31" s="50">
        <f>Worksheet!F30</f>
        <v>53649.086567616738</v>
      </c>
      <c r="G31" s="212">
        <f>Worksheet!G30</f>
        <v>52631.95209021453</v>
      </c>
      <c r="H31" s="53"/>
    </row>
    <row r="32" spans="1:8" x14ac:dyDescent="0.2">
      <c r="A32" s="18"/>
      <c r="B32" s="33" t="str">
        <f>Worksheet!B31</f>
        <v>% Revenue</v>
      </c>
      <c r="C32" s="34">
        <f>Worksheet!C31</f>
        <v>0.1</v>
      </c>
      <c r="D32" s="35">
        <f>Worksheet!D31</f>
        <v>9.1883116883116872E-2</v>
      </c>
      <c r="E32" s="35">
        <f>Worksheet!E31</f>
        <v>8.9567796815695988E-2</v>
      </c>
      <c r="F32" s="34">
        <f>Worksheet!F31</f>
        <v>8.5820843488910697E-2</v>
      </c>
      <c r="G32" s="34">
        <f>Worksheet!G31</f>
        <v>8.8979370249728559E-2</v>
      </c>
      <c r="H32" s="53"/>
    </row>
    <row r="33" spans="1:8" x14ac:dyDescent="0.2">
      <c r="A33" s="18"/>
      <c r="B33" s="144" t="str">
        <f>Worksheet!B32</f>
        <v>Labor Owner</v>
      </c>
      <c r="C33" s="50">
        <f>Worksheet!C32</f>
        <v>10000</v>
      </c>
      <c r="D33" s="49">
        <f>Worksheet!D32</f>
        <v>10303.398058252427</v>
      </c>
      <c r="E33" s="49">
        <f>Worksheet!E32</f>
        <v>10545.955882352941</v>
      </c>
      <c r="F33" s="50">
        <f>Worksheet!F32</f>
        <v>10729.81731352335</v>
      </c>
      <c r="G33" s="212">
        <f>Worksheet!G32</f>
        <v>10526.390418042907</v>
      </c>
      <c r="H33" s="53"/>
    </row>
    <row r="34" spans="1:8" x14ac:dyDescent="0.2">
      <c r="A34" s="18"/>
      <c r="B34" s="33" t="str">
        <f>Worksheet!B33</f>
        <v>% Revenue</v>
      </c>
      <c r="C34" s="34">
        <f>Worksheet!C33</f>
        <v>0.02</v>
      </c>
      <c r="D34" s="35">
        <f>Worksheet!D33</f>
        <v>1.8376623376623376E-2</v>
      </c>
      <c r="E34" s="35">
        <f>Worksheet!E33</f>
        <v>1.7913559363139191E-2</v>
      </c>
      <c r="F34" s="34">
        <f>Worksheet!F33</f>
        <v>1.7164168697782142E-2</v>
      </c>
      <c r="G34" s="34">
        <f>Worksheet!G33</f>
        <v>1.7795874049945714E-2</v>
      </c>
      <c r="H34" s="53"/>
    </row>
    <row r="35" spans="1:8" x14ac:dyDescent="0.2">
      <c r="A35" s="18"/>
      <c r="B35" s="144" t="str">
        <f>Worksheet!B34</f>
        <v>Interest Costs</v>
      </c>
      <c r="C35" s="50">
        <f>Worksheet!C34</f>
        <v>0</v>
      </c>
      <c r="D35" s="49">
        <f>Worksheet!D34</f>
        <v>0</v>
      </c>
      <c r="E35" s="49">
        <f>Worksheet!E34</f>
        <v>0</v>
      </c>
      <c r="F35" s="49">
        <f>Worksheet!F34</f>
        <v>0</v>
      </c>
      <c r="G35" s="212">
        <f>Worksheet!G34</f>
        <v>0</v>
      </c>
      <c r="H35" s="53"/>
    </row>
    <row r="36" spans="1:8" x14ac:dyDescent="0.2">
      <c r="A36" s="18"/>
      <c r="B36" s="33" t="str">
        <f>Worksheet!B35</f>
        <v>% Revenue</v>
      </c>
      <c r="C36" s="34">
        <f>Worksheet!C35</f>
        <v>0</v>
      </c>
      <c r="D36" s="34">
        <f>Worksheet!D35</f>
        <v>0</v>
      </c>
      <c r="E36" s="34">
        <f>Worksheet!E35</f>
        <v>0</v>
      </c>
      <c r="F36" s="34">
        <f>Worksheet!F35</f>
        <v>0</v>
      </c>
      <c r="G36" s="34">
        <f>Worksheet!G35</f>
        <v>0</v>
      </c>
      <c r="H36" s="53"/>
    </row>
    <row r="37" spans="1:8" x14ac:dyDescent="0.2">
      <c r="A37" s="18"/>
      <c r="B37" s="144" t="str">
        <f>Worksheet!B36</f>
        <v>Other</v>
      </c>
      <c r="C37" s="50">
        <f>Worksheet!C36</f>
        <v>0</v>
      </c>
      <c r="D37" s="49">
        <f>Worksheet!D36</f>
        <v>0</v>
      </c>
      <c r="E37" s="49">
        <f>Worksheet!E36</f>
        <v>0</v>
      </c>
      <c r="F37" s="50">
        <f>Worksheet!F36</f>
        <v>0</v>
      </c>
      <c r="G37" s="212">
        <f>Worksheet!G36</f>
        <v>0</v>
      </c>
      <c r="H37" s="53"/>
    </row>
    <row r="38" spans="1:8" x14ac:dyDescent="0.2">
      <c r="A38" s="18"/>
      <c r="B38" s="33" t="str">
        <f>Worksheet!B37</f>
        <v>% Revenue</v>
      </c>
      <c r="C38" s="34">
        <f>Worksheet!C37</f>
        <v>0</v>
      </c>
      <c r="D38" s="35">
        <f>Worksheet!D37</f>
        <v>0</v>
      </c>
      <c r="E38" s="35">
        <f>Worksheet!E37</f>
        <v>0</v>
      </c>
      <c r="F38" s="34">
        <f>Worksheet!F37</f>
        <v>0</v>
      </c>
      <c r="G38" s="34">
        <f>Worksheet!G37</f>
        <v>0</v>
      </c>
      <c r="H38" s="53"/>
    </row>
    <row r="39" spans="1:8" x14ac:dyDescent="0.2">
      <c r="A39" s="18"/>
      <c r="B39" s="144" t="str">
        <f>Worksheet!B38</f>
        <v>Total Fixed Costs</v>
      </c>
      <c r="C39" s="51">
        <f>Worksheet!C38</f>
        <v>130000</v>
      </c>
      <c r="D39" s="51">
        <f>Worksheet!D38</f>
        <v>133944.17475728155</v>
      </c>
      <c r="E39" s="51">
        <f>Worksheet!E38</f>
        <v>135766.38349514565</v>
      </c>
      <c r="F39" s="51">
        <f>Worksheet!F38</f>
        <v>136645.19080828209</v>
      </c>
      <c r="G39" s="51">
        <f>Worksheet!G38</f>
        <v>135451.91635356974</v>
      </c>
      <c r="H39" s="53"/>
    </row>
    <row r="40" spans="1:8" x14ac:dyDescent="0.2">
      <c r="A40" s="18"/>
      <c r="B40" s="33" t="str">
        <f>Worksheet!B39</f>
        <v>Total Fixed Costs %</v>
      </c>
      <c r="C40" s="34">
        <f>Worksheet!C39</f>
        <v>0.26</v>
      </c>
      <c r="D40" s="34">
        <f>Worksheet!D39</f>
        <v>0.23889610389610388</v>
      </c>
      <c r="E40" s="34">
        <f>Worksheet!E39</f>
        <v>0.23061533704390849</v>
      </c>
      <c r="F40" s="34">
        <f>Worksheet!F39</f>
        <v>0.21858723576010486</v>
      </c>
      <c r="G40" s="34">
        <f>Worksheet!G39</f>
        <v>0.22899447460358141</v>
      </c>
      <c r="H40" s="53"/>
    </row>
    <row r="41" spans="1:8" x14ac:dyDescent="0.2">
      <c r="A41" s="18"/>
      <c r="B41" s="30"/>
      <c r="C41" s="34"/>
      <c r="D41" s="38"/>
      <c r="E41" s="38"/>
      <c r="F41" s="37"/>
      <c r="G41" s="63"/>
      <c r="H41" s="53"/>
    </row>
    <row r="42" spans="1:8" x14ac:dyDescent="0.2">
      <c r="A42" s="18"/>
      <c r="B42" s="17" t="str">
        <f>Worksheet!B41</f>
        <v>Total Expenses</v>
      </c>
      <c r="C42" s="51">
        <f>Worksheet!C41</f>
        <v>440000</v>
      </c>
      <c r="D42" s="52">
        <f>Worksheet!D41</f>
        <v>471984.98916014691</v>
      </c>
      <c r="E42" s="52">
        <f>Worksheet!E41</f>
        <v>482544.00155528332</v>
      </c>
      <c r="F42" s="51">
        <f>Worksheet!F41</f>
        <v>519756.99142884079</v>
      </c>
      <c r="G42" s="51">
        <f>Worksheet!G41</f>
        <v>491428.66071475699</v>
      </c>
      <c r="H42" s="53"/>
    </row>
    <row r="43" spans="1:8" x14ac:dyDescent="0.2">
      <c r="A43" s="18"/>
      <c r="B43" s="40"/>
      <c r="C43" s="32"/>
      <c r="D43" s="31"/>
      <c r="E43" s="31"/>
      <c r="F43" s="32"/>
      <c r="G43" s="63"/>
      <c r="H43" s="53"/>
    </row>
    <row r="44" spans="1:8" x14ac:dyDescent="0.2">
      <c r="A44" s="18"/>
      <c r="B44" s="146" t="str">
        <f>Worksheet!B43</f>
        <v>Operating Surplus</v>
      </c>
      <c r="C44" s="51">
        <f>Worksheet!C43</f>
        <v>60000</v>
      </c>
      <c r="D44" s="52">
        <f>Worksheet!D43</f>
        <v>88694.622490338515</v>
      </c>
      <c r="E44" s="52">
        <f>Worksheet!E43</f>
        <v>106169.59067772643</v>
      </c>
      <c r="F44" s="51">
        <f>Worksheet!F43</f>
        <v>105371.87455054082</v>
      </c>
      <c r="G44" s="51">
        <f>Worksheet!G43</f>
        <v>100078.69590620192</v>
      </c>
      <c r="H44" s="53"/>
    </row>
    <row r="45" spans="1:8" x14ac:dyDescent="0.2">
      <c r="A45" s="18"/>
      <c r="B45" s="33" t="str">
        <f>Worksheet!B44</f>
        <v>Operating Surplus %</v>
      </c>
      <c r="C45" s="37">
        <f>Worksheet!C44</f>
        <v>0.12</v>
      </c>
      <c r="D45" s="37">
        <f>Worksheet!D44</f>
        <v>0.15819127474467304</v>
      </c>
      <c r="E45" s="37">
        <f>Worksheet!E44</f>
        <v>0.18034166711697913</v>
      </c>
      <c r="F45" s="37">
        <f>Worksheet!F44</f>
        <v>0.16856024459125882</v>
      </c>
      <c r="G45" s="37">
        <f>Worksheet!G44</f>
        <v>0.16919264787831351</v>
      </c>
      <c r="H45" s="53"/>
    </row>
    <row r="46" spans="1:8" x14ac:dyDescent="0.2">
      <c r="A46" s="18"/>
      <c r="B46" s="33"/>
      <c r="C46" s="37"/>
      <c r="D46" s="37"/>
      <c r="E46" s="37"/>
      <c r="F46" s="37"/>
      <c r="G46" s="37"/>
      <c r="H46" s="59"/>
    </row>
    <row r="47" spans="1:8" x14ac:dyDescent="0.2">
      <c r="A47" s="18"/>
      <c r="B47" s="269" t="str">
        <f>Worksheet!B46</f>
        <v>LESS</v>
      </c>
      <c r="C47" s="37"/>
      <c r="D47" s="37"/>
      <c r="E47" s="37"/>
      <c r="F47" s="37"/>
      <c r="G47" s="37"/>
      <c r="H47" s="152"/>
    </row>
    <row r="48" spans="1:8" x14ac:dyDescent="0.2">
      <c r="A48" s="18"/>
      <c r="B48" s="282" t="str">
        <f>Worksheet!B47</f>
        <v>Depreciation Allowance</v>
      </c>
      <c r="C48" s="286">
        <f>Worksheet!C47</f>
        <v>12500</v>
      </c>
      <c r="D48" s="286">
        <f>Worksheet!D47</f>
        <v>12879.247572815533</v>
      </c>
      <c r="E48" s="286">
        <f>Worksheet!E47</f>
        <v>13054.459951456311</v>
      </c>
      <c r="F48" s="286">
        <f>Worksheet!F47</f>
        <v>13282.055412371135</v>
      </c>
      <c r="G48" s="301">
        <f>Worksheet!G47</f>
        <v>13071.920978880991</v>
      </c>
      <c r="H48" s="152"/>
    </row>
    <row r="49" spans="1:8" x14ac:dyDescent="0.2">
      <c r="A49" s="18"/>
      <c r="B49" s="282"/>
      <c r="C49" s="285"/>
      <c r="D49" s="285"/>
      <c r="E49" s="285"/>
      <c r="F49" s="285"/>
      <c r="G49" s="284"/>
      <c r="H49" s="152"/>
    </row>
    <row r="50" spans="1:8" x14ac:dyDescent="0.2">
      <c r="A50" s="18"/>
      <c r="B50" s="41" t="str">
        <f>Worksheet!B49</f>
        <v>Business Return</v>
      </c>
      <c r="C50" s="289">
        <f>Worksheet!C49</f>
        <v>47500</v>
      </c>
      <c r="D50" s="289">
        <f>Worksheet!D49</f>
        <v>75815.374917522975</v>
      </c>
      <c r="E50" s="289">
        <f>Worksheet!E49</f>
        <v>93115.130726270116</v>
      </c>
      <c r="F50" s="289">
        <f>Worksheet!F49</f>
        <v>92089.819138169682</v>
      </c>
      <c r="G50" s="302">
        <f>Worksheet!G49</f>
        <v>87006.774927320934</v>
      </c>
      <c r="H50" s="152"/>
    </row>
    <row r="51" spans="1:8" x14ac:dyDescent="0.2">
      <c r="A51" s="18"/>
      <c r="B51" s="33" t="str">
        <f>Worksheet!B50</f>
        <v>Business Return %</v>
      </c>
      <c r="C51" s="296">
        <f>Worksheet!C50</f>
        <v>9.5000000000000001E-2</v>
      </c>
      <c r="D51" s="296">
        <f>Worksheet!D50</f>
        <v>0.13522049552389379</v>
      </c>
      <c r="E51" s="296">
        <f>Worksheet!E50</f>
        <v>0.15816711547814177</v>
      </c>
      <c r="F51" s="296">
        <f>Worksheet!F50</f>
        <v>0.14731333673720812</v>
      </c>
      <c r="G51" s="297">
        <f>Worksheet!G50</f>
        <v>0.14709330991985506</v>
      </c>
      <c r="H51" s="153"/>
    </row>
    <row r="52" spans="1:8" x14ac:dyDescent="0.2">
      <c r="A52" s="18"/>
      <c r="B52" s="287"/>
      <c r="C52" s="38"/>
      <c r="D52" s="37"/>
      <c r="E52" s="37"/>
      <c r="F52" s="37"/>
      <c r="G52" s="63"/>
      <c r="H52" s="153"/>
    </row>
    <row r="53" spans="1:8" ht="12.75" customHeight="1" x14ac:dyDescent="0.2">
      <c r="A53" s="18"/>
      <c r="B53" s="547"/>
      <c r="C53" s="547"/>
      <c r="D53" s="547"/>
      <c r="E53" s="547"/>
      <c r="F53" s="547"/>
      <c r="G53" s="547"/>
      <c r="H53" s="153"/>
    </row>
    <row r="54" spans="1:8" ht="18" x14ac:dyDescent="0.2">
      <c r="A54" s="18"/>
      <c r="B54" s="548"/>
      <c r="C54" s="548"/>
      <c r="D54" s="548"/>
      <c r="E54" s="548"/>
      <c r="F54" s="548"/>
      <c r="G54" s="548"/>
      <c r="H54" s="153"/>
    </row>
    <row r="55" spans="1:8" ht="18" x14ac:dyDescent="0.2">
      <c r="A55" s="18"/>
      <c r="B55" s="548"/>
      <c r="C55" s="548"/>
      <c r="D55" s="548"/>
      <c r="E55" s="548"/>
      <c r="F55" s="548"/>
      <c r="G55" s="548"/>
      <c r="H55" s="153"/>
    </row>
    <row r="56" spans="1:8" ht="18" x14ac:dyDescent="0.2">
      <c r="A56" s="3"/>
      <c r="B56" s="524"/>
      <c r="C56" s="524"/>
      <c r="D56" s="524"/>
      <c r="E56" s="524"/>
      <c r="F56" s="524"/>
      <c r="G56" s="524"/>
      <c r="H56" s="153"/>
    </row>
    <row r="57" spans="1:8" ht="18" x14ac:dyDescent="0.2">
      <c r="A57" s="3"/>
      <c r="B57" s="525"/>
      <c r="C57" s="525"/>
      <c r="D57" s="525"/>
      <c r="E57" s="525"/>
      <c r="F57" s="525"/>
      <c r="G57" s="525"/>
      <c r="H57" s="153"/>
    </row>
    <row r="58" spans="1:8" ht="18" x14ac:dyDescent="0.2">
      <c r="A58" s="2"/>
      <c r="B58" s="526"/>
      <c r="C58" s="526"/>
      <c r="D58" s="526"/>
      <c r="E58" s="526"/>
      <c r="F58" s="526"/>
      <c r="G58" s="526"/>
      <c r="H58" s="2"/>
    </row>
    <row r="59" spans="1:8" ht="18" x14ac:dyDescent="0.2">
      <c r="A59" s="2"/>
      <c r="B59" s="520"/>
      <c r="C59" s="520"/>
      <c r="D59" s="520"/>
      <c r="E59" s="520"/>
      <c r="F59" s="520"/>
      <c r="G59" s="520"/>
      <c r="H59" s="2"/>
    </row>
    <row r="60" spans="1:8" ht="18" x14ac:dyDescent="0.2">
      <c r="A60" s="2"/>
      <c r="B60" s="521"/>
      <c r="C60" s="521"/>
      <c r="D60" s="521"/>
      <c r="E60" s="521"/>
      <c r="F60" s="521"/>
      <c r="G60" s="521"/>
      <c r="H60" s="2"/>
    </row>
    <row r="61" spans="1:8" ht="18" x14ac:dyDescent="0.2">
      <c r="A61" s="2"/>
      <c r="B61" s="475"/>
      <c r="C61" s="475"/>
      <c r="D61" s="475"/>
      <c r="E61" s="475"/>
      <c r="F61" s="475"/>
      <c r="G61" s="475"/>
      <c r="H61" s="2"/>
    </row>
    <row r="62" spans="1:8" x14ac:dyDescent="0.2">
      <c r="A62" s="2"/>
      <c r="B62" s="522"/>
      <c r="C62" s="522"/>
      <c r="D62" s="522"/>
      <c r="E62" s="522"/>
      <c r="F62" s="522"/>
      <c r="G62" s="522"/>
      <c r="H62" s="2"/>
    </row>
    <row r="63" spans="1:8" x14ac:dyDescent="0.2">
      <c r="A63" s="2"/>
      <c r="B63" s="2"/>
      <c r="C63" s="2"/>
      <c r="D63" s="2"/>
      <c r="E63" s="2"/>
      <c r="F63" s="2"/>
      <c r="G63" s="2"/>
      <c r="H63" s="2"/>
    </row>
  </sheetData>
  <sheetProtection algorithmName="SHA-512" hashValue="UJNPwbJ7Ap9b8cozN4ULgRsg/fa2lpfeoG9H4PifWqlVePaum2Ls/+SQ4gmPwa7/sYt2et5Y+WseILKK4bpVog==" saltValue="IapTDgv7breB/UdxbLF4/g==" spinCount="100000" sheet="1" objects="1" scenarios="1" formatCells="0" formatColumns="0" formatRows="0"/>
  <mergeCells count="11">
    <mergeCell ref="B2:G2"/>
    <mergeCell ref="B53:G53"/>
    <mergeCell ref="B54:G54"/>
    <mergeCell ref="B56:G56"/>
    <mergeCell ref="B55:G55"/>
    <mergeCell ref="B61:G61"/>
    <mergeCell ref="B62:G62"/>
    <mergeCell ref="B57:G57"/>
    <mergeCell ref="B58:G58"/>
    <mergeCell ref="B59:G59"/>
    <mergeCell ref="B60:G60"/>
  </mergeCells>
  <phoneticPr fontId="0" type="noConversion"/>
  <printOptions horizontalCentered="1" verticalCentered="1"/>
  <pageMargins left="0.74803149606299213" right="0.74803149606299213" top="0.98425196850393704" bottom="0.98425196850393704" header="0.51181102362204722" footer="0.51181102362204722"/>
  <pageSetup paperSize="9" scale="77" orientation="portrait" horizontalDpi="36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dimension ref="A1:H63"/>
  <sheetViews>
    <sheetView showGridLines="0" zoomScaleNormal="100" workbookViewId="0"/>
  </sheetViews>
  <sheetFormatPr defaultRowHeight="12.75" x14ac:dyDescent="0.2"/>
  <cols>
    <col min="1" max="1" width="2.28515625" customWidth="1"/>
    <col min="2" max="2" width="39.140625" customWidth="1"/>
    <col min="3" max="7" width="12.7109375" customWidth="1"/>
    <col min="8" max="8" width="4.28515625" customWidth="1"/>
  </cols>
  <sheetData>
    <row r="1" spans="1:8" ht="3.75" customHeight="1" x14ac:dyDescent="0.2">
      <c r="A1" s="2"/>
      <c r="B1" s="2"/>
      <c r="C1" s="2"/>
      <c r="D1" s="2"/>
      <c r="E1" s="2"/>
      <c r="F1" s="2"/>
      <c r="G1" s="2"/>
      <c r="H1" s="2"/>
    </row>
    <row r="2" spans="1:8" ht="18" x14ac:dyDescent="0.25">
      <c r="A2" s="3"/>
      <c r="B2" s="531" t="s">
        <v>104</v>
      </c>
      <c r="C2" s="532"/>
      <c r="D2" s="532"/>
      <c r="E2" s="532"/>
      <c r="F2" s="532"/>
      <c r="G2" s="533"/>
      <c r="H2" s="3"/>
    </row>
    <row r="3" spans="1:8" x14ac:dyDescent="0.2">
      <c r="A3" s="18"/>
      <c r="B3" s="213" t="str">
        <f>Worksheet!J2</f>
        <v>Optimistic Forecast improved by</v>
      </c>
      <c r="C3" s="217">
        <f>Worksheet!K2</f>
        <v>0.2</v>
      </c>
      <c r="D3" s="214"/>
      <c r="E3" s="214"/>
      <c r="F3" s="215"/>
      <c r="G3" s="216"/>
      <c r="H3" s="23"/>
    </row>
    <row r="4" spans="1:8" x14ac:dyDescent="0.2">
      <c r="A4" s="18"/>
      <c r="B4" s="143" t="str">
        <f>Worksheet!J3</f>
        <v>Acme Widgets</v>
      </c>
      <c r="C4" s="214"/>
      <c r="D4" s="214"/>
      <c r="E4" s="214"/>
      <c r="F4" s="215"/>
      <c r="G4" s="216"/>
      <c r="H4" s="23"/>
    </row>
    <row r="5" spans="1:8" ht="25.5" x14ac:dyDescent="0.2">
      <c r="A5" s="18"/>
      <c r="B5" s="147"/>
      <c r="C5" s="43" t="str">
        <f>Worksheet!K4</f>
        <v>Current Year</v>
      </c>
      <c r="D5" s="148" t="str">
        <f>Worksheet!L4</f>
        <v>Year 1</v>
      </c>
      <c r="E5" s="148" t="str">
        <f>Worksheet!M4</f>
        <v>Year 2</v>
      </c>
      <c r="F5" s="148" t="str">
        <f>Worksheet!N4</f>
        <v>Year 3</v>
      </c>
      <c r="G5" s="44" t="str">
        <f>Worksheet!O4</f>
        <v>3 Year Average</v>
      </c>
      <c r="H5" s="3"/>
    </row>
    <row r="6" spans="1:8" x14ac:dyDescent="0.2">
      <c r="A6" s="18"/>
      <c r="B6" s="143" t="str">
        <f>Worksheet!J5</f>
        <v>Business Revenue</v>
      </c>
      <c r="C6" s="212">
        <f>Worksheet!K5</f>
        <v>500000</v>
      </c>
      <c r="D6" s="46">
        <f>Worksheet!L5</f>
        <v>579687.5</v>
      </c>
      <c r="E6" s="47">
        <f>Worksheet!M5</f>
        <v>614468.75</v>
      </c>
      <c r="F6" s="48">
        <f>Worksheet!N5</f>
        <v>660362.68153526972</v>
      </c>
      <c r="G6" s="212">
        <f>Worksheet!O5</f>
        <v>618172.9771784232</v>
      </c>
      <c r="H6" s="53"/>
    </row>
    <row r="7" spans="1:8" x14ac:dyDescent="0.2">
      <c r="A7" s="18"/>
      <c r="B7" s="143" t="str">
        <f>Worksheet!J6</f>
        <v>Expenses</v>
      </c>
      <c r="C7" s="24"/>
      <c r="D7" s="25"/>
      <c r="E7" s="26"/>
      <c r="F7" s="27"/>
      <c r="G7" s="63"/>
      <c r="H7" s="53"/>
    </row>
    <row r="8" spans="1:8" x14ac:dyDescent="0.2">
      <c r="A8" s="18"/>
      <c r="B8" s="143" t="str">
        <f>Worksheet!J7</f>
        <v>Variable Costs</v>
      </c>
      <c r="C8" s="28"/>
      <c r="D8" s="29"/>
      <c r="E8" s="29"/>
      <c r="F8" s="28"/>
      <c r="G8" s="63"/>
      <c r="H8" s="53"/>
    </row>
    <row r="9" spans="1:8" x14ac:dyDescent="0.2">
      <c r="A9" s="18"/>
      <c r="B9" s="144" t="str">
        <f>Worksheet!J8</f>
        <v>Materials &amp; Supplies</v>
      </c>
      <c r="C9" s="50">
        <f>Worksheet!K8</f>
        <v>10000</v>
      </c>
      <c r="D9" s="49">
        <f>Worksheet!L8</f>
        <v>11750.422297297297</v>
      </c>
      <c r="E9" s="49">
        <f>Worksheet!M8</f>
        <v>12337.943412162162</v>
      </c>
      <c r="F9" s="50">
        <f>Worksheet!N8</f>
        <v>13259.449559128632</v>
      </c>
      <c r="G9" s="212">
        <f>Worksheet!O8</f>
        <v>12449.271756196031</v>
      </c>
      <c r="H9" s="55"/>
    </row>
    <row r="10" spans="1:8" x14ac:dyDescent="0.2">
      <c r="A10" s="18"/>
      <c r="B10" s="33" t="str">
        <f>Worksheet!J9</f>
        <v>% Revenue</v>
      </c>
      <c r="C10" s="34">
        <f>Worksheet!K9</f>
        <v>0.02</v>
      </c>
      <c r="D10" s="35">
        <f>Worksheet!L9</f>
        <v>2.0270270270270268E-2</v>
      </c>
      <c r="E10" s="35">
        <f>Worksheet!M9</f>
        <v>2.0079041305456399E-2</v>
      </c>
      <c r="F10" s="34">
        <f>Worksheet!N9</f>
        <v>2.0079041305456402E-2</v>
      </c>
      <c r="G10" s="34">
        <f>Worksheet!O9</f>
        <v>2.013881585866022E-2</v>
      </c>
      <c r="H10" s="55"/>
    </row>
    <row r="11" spans="1:8" x14ac:dyDescent="0.2">
      <c r="A11" s="18"/>
      <c r="B11" s="144" t="str">
        <f>Worksheet!J10</f>
        <v>Labor excluding Owner</v>
      </c>
      <c r="C11" s="50">
        <f>Worksheet!K10</f>
        <v>200000</v>
      </c>
      <c r="D11" s="49">
        <f>Worksheet!L10</f>
        <v>230170.39695945947</v>
      </c>
      <c r="E11" s="49">
        <f>Worksheet!M10</f>
        <v>235320.77756314661</v>
      </c>
      <c r="F11" s="50">
        <f>Worksheet!N10</f>
        <v>265969.27342111943</v>
      </c>
      <c r="G11" s="212">
        <f>Worksheet!O10</f>
        <v>243820.14931457516</v>
      </c>
      <c r="H11" s="55"/>
    </row>
    <row r="12" spans="1:8" x14ac:dyDescent="0.2">
      <c r="A12" s="18"/>
      <c r="B12" s="33" t="str">
        <f>Worksheet!J11</f>
        <v>% Revenue</v>
      </c>
      <c r="C12" s="34">
        <f>Worksheet!K11</f>
        <v>0.4</v>
      </c>
      <c r="D12" s="35">
        <f>Worksheet!L11</f>
        <v>0.39705944488963357</v>
      </c>
      <c r="E12" s="35">
        <f>Worksheet!M11</f>
        <v>0.38296622499215233</v>
      </c>
      <c r="F12" s="34">
        <f>Worksheet!N11</f>
        <v>0.40276242261717526</v>
      </c>
      <c r="G12" s="34">
        <f>Worksheet!O11</f>
        <v>0.39442058827524806</v>
      </c>
      <c r="H12" s="54"/>
    </row>
    <row r="13" spans="1:8" x14ac:dyDescent="0.2">
      <c r="A13" s="18"/>
      <c r="B13" s="144" t="str">
        <f>Worksheet!J12</f>
        <v>Labor Owner</v>
      </c>
      <c r="C13" s="50">
        <f>Worksheet!K12</f>
        <v>50000</v>
      </c>
      <c r="D13" s="49">
        <f>Worksheet!L12</f>
        <v>49601.5625</v>
      </c>
      <c r="E13" s="49">
        <f>Worksheet!M12</f>
        <v>51165.708923339844</v>
      </c>
      <c r="F13" s="50">
        <f>Worksheet!N12</f>
        <v>54229.896703361861</v>
      </c>
      <c r="G13" s="212">
        <f>Worksheet!O12</f>
        <v>51665.722708900568</v>
      </c>
      <c r="H13" s="55"/>
    </row>
    <row r="14" spans="1:8" x14ac:dyDescent="0.2">
      <c r="A14" s="18"/>
      <c r="B14" s="33" t="str">
        <f>Worksheet!J13</f>
        <v>% Revenue</v>
      </c>
      <c r="C14" s="34">
        <f>Worksheet!K13</f>
        <v>0.1</v>
      </c>
      <c r="D14" s="35">
        <f>Worksheet!L13</f>
        <v>8.556603773584906E-2</v>
      </c>
      <c r="E14" s="35">
        <f>Worksheet!M13</f>
        <v>8.3268203506427052E-2</v>
      </c>
      <c r="F14" s="34">
        <f>Worksheet!N13</f>
        <v>8.2121383021347277E-2</v>
      </c>
      <c r="G14" s="34">
        <f>Worksheet!O13</f>
        <v>8.3578099684529394E-2</v>
      </c>
      <c r="H14" s="54"/>
    </row>
    <row r="15" spans="1:8" x14ac:dyDescent="0.2">
      <c r="A15" s="18"/>
      <c r="B15" s="144" t="str">
        <f>Worksheet!J14</f>
        <v>Distribution</v>
      </c>
      <c r="C15" s="50">
        <f>Worksheet!K14</f>
        <v>20000</v>
      </c>
      <c r="D15" s="49">
        <f>Worksheet!L14</f>
        <v>22381.756756756757</v>
      </c>
      <c r="E15" s="49">
        <f>Worksheet!M14</f>
        <v>22381.756756756753</v>
      </c>
      <c r="F15" s="50">
        <f>Worksheet!N14</f>
        <v>24053.423236514522</v>
      </c>
      <c r="G15" s="212">
        <f>Worksheet!O14</f>
        <v>22938.978916676006</v>
      </c>
      <c r="H15" s="55"/>
    </row>
    <row r="16" spans="1:8" x14ac:dyDescent="0.2">
      <c r="A16" s="18"/>
      <c r="B16" s="33" t="str">
        <f>Worksheet!J15</f>
        <v>% Revenue</v>
      </c>
      <c r="C16" s="34">
        <f>Worksheet!K15</f>
        <v>0.04</v>
      </c>
      <c r="D16" s="35">
        <f>Worksheet!L15</f>
        <v>3.8610038610038609E-2</v>
      </c>
      <c r="E16" s="35">
        <f>Worksheet!M15</f>
        <v>3.642456472645151E-2</v>
      </c>
      <c r="F16" s="34">
        <f>Worksheet!N15</f>
        <v>3.6424564726451517E-2</v>
      </c>
      <c r="G16" s="34">
        <f>Worksheet!O15</f>
        <v>3.7107702477352275E-2</v>
      </c>
      <c r="H16" s="54"/>
    </row>
    <row r="17" spans="1:8" x14ac:dyDescent="0.2">
      <c r="A17" s="18"/>
      <c r="B17" s="144" t="str">
        <f>Worksheet!J16</f>
        <v>Marketing</v>
      </c>
      <c r="C17" s="50">
        <f>Worksheet!K16</f>
        <v>10000</v>
      </c>
      <c r="D17" s="49">
        <f>Worksheet!L16</f>
        <v>11190.878378378378</v>
      </c>
      <c r="E17" s="49">
        <f>Worksheet!M16</f>
        <v>11190.878378378377</v>
      </c>
      <c r="F17" s="50">
        <f>Worksheet!N16</f>
        <v>12026.711618257261</v>
      </c>
      <c r="G17" s="212">
        <f>Worksheet!O16</f>
        <v>11469.489458338003</v>
      </c>
      <c r="H17" s="55"/>
    </row>
    <row r="18" spans="1:8" x14ac:dyDescent="0.2">
      <c r="A18" s="18"/>
      <c r="B18" s="33" t="str">
        <f>Worksheet!J17</f>
        <v>% Revenue</v>
      </c>
      <c r="C18" s="34">
        <f>Worksheet!K17</f>
        <v>0.02</v>
      </c>
      <c r="D18" s="35">
        <f>Worksheet!L17</f>
        <v>1.9305019305019305E-2</v>
      </c>
      <c r="E18" s="35">
        <f>Worksheet!M17</f>
        <v>1.8212282363225755E-2</v>
      </c>
      <c r="F18" s="34">
        <f>Worksheet!N17</f>
        <v>1.8212282363225758E-2</v>
      </c>
      <c r="G18" s="34">
        <f>Worksheet!O17</f>
        <v>1.8553851238676138E-2</v>
      </c>
      <c r="H18" s="54"/>
    </row>
    <row r="19" spans="1:8" x14ac:dyDescent="0.2">
      <c r="A19" s="18"/>
      <c r="B19" s="144" t="str">
        <f>Worksheet!J18</f>
        <v>Other</v>
      </c>
      <c r="C19" s="50">
        <f>Worksheet!K18</f>
        <v>20000</v>
      </c>
      <c r="D19" s="50">
        <f>Worksheet!L18</f>
        <v>22381.756756756757</v>
      </c>
      <c r="E19" s="50">
        <f>Worksheet!M18</f>
        <v>22381.756756756753</v>
      </c>
      <c r="F19" s="50">
        <f>Worksheet!N18</f>
        <v>24053.423236514522</v>
      </c>
      <c r="G19" s="212">
        <f>Worksheet!O18</f>
        <v>22938.978916676006</v>
      </c>
      <c r="H19" s="55"/>
    </row>
    <row r="20" spans="1:8" x14ac:dyDescent="0.2">
      <c r="A20" s="18"/>
      <c r="B20" s="33" t="str">
        <f>Worksheet!J19</f>
        <v>% Revenue</v>
      </c>
      <c r="C20" s="34">
        <f>Worksheet!K19</f>
        <v>0.04</v>
      </c>
      <c r="D20" s="35">
        <f>Worksheet!L19</f>
        <v>3.8610038610038609E-2</v>
      </c>
      <c r="E20" s="35">
        <f>Worksheet!M19</f>
        <v>3.642456472645151E-2</v>
      </c>
      <c r="F20" s="34">
        <f>Worksheet!N19</f>
        <v>3.6424564726451517E-2</v>
      </c>
      <c r="G20" s="34">
        <f>Worksheet!O19</f>
        <v>3.7107702477352275E-2</v>
      </c>
      <c r="H20" s="54"/>
    </row>
    <row r="21" spans="1:8" x14ac:dyDescent="0.2">
      <c r="A21" s="18"/>
      <c r="B21" s="144" t="str">
        <f>Worksheet!J20</f>
        <v>Total Variable Costs</v>
      </c>
      <c r="C21" s="51">
        <f>Worksheet!K20</f>
        <v>310000</v>
      </c>
      <c r="D21" s="51">
        <f>Worksheet!L20</f>
        <v>347476.7736486487</v>
      </c>
      <c r="E21" s="51">
        <f>Worksheet!M20</f>
        <v>354778.82179054053</v>
      </c>
      <c r="F21" s="51">
        <f>Worksheet!N20</f>
        <v>393592.1777748962</v>
      </c>
      <c r="G21" s="51">
        <f>Worksheet!O20</f>
        <v>365282.59107136185</v>
      </c>
      <c r="H21" s="58"/>
    </row>
    <row r="22" spans="1:8" x14ac:dyDescent="0.2">
      <c r="A22" s="18"/>
      <c r="B22" s="33" t="str">
        <f>Worksheet!J21</f>
        <v>Total Variable Costs %</v>
      </c>
      <c r="C22" s="37">
        <f>Worksheet!K21</f>
        <v>0.62</v>
      </c>
      <c r="D22" s="37">
        <f>Worksheet!L21</f>
        <v>0.5994208494208495</v>
      </c>
      <c r="E22" s="37">
        <f>Worksheet!M21</f>
        <v>0.57737488162016459</v>
      </c>
      <c r="F22" s="37">
        <f>Worksheet!N21</f>
        <v>0.59602425876010767</v>
      </c>
      <c r="G22" s="37">
        <f>Worksheet!O21</f>
        <v>0.59090676001181841</v>
      </c>
      <c r="H22" s="53"/>
    </row>
    <row r="23" spans="1:8" x14ac:dyDescent="0.2">
      <c r="A23" s="18"/>
      <c r="B23" s="30" t="str">
        <f>Worksheet!J22</f>
        <v>Gross Profit</v>
      </c>
      <c r="C23" s="36">
        <f>Worksheet!K22</f>
        <v>190000</v>
      </c>
      <c r="D23" s="36">
        <f>Worksheet!L22</f>
        <v>232210.7263513513</v>
      </c>
      <c r="E23" s="36">
        <f>Worksheet!M22</f>
        <v>259689.92820945947</v>
      </c>
      <c r="F23" s="36">
        <f>Worksheet!N22</f>
        <v>266770.50376037351</v>
      </c>
      <c r="G23" s="36">
        <f>Worksheet!O22</f>
        <v>252890.38610706135</v>
      </c>
      <c r="H23" s="53"/>
    </row>
    <row r="24" spans="1:8" x14ac:dyDescent="0.2">
      <c r="A24" s="18"/>
      <c r="B24" s="33" t="str">
        <f>Worksheet!J23</f>
        <v>Gross Profit %</v>
      </c>
      <c r="C24" s="37">
        <f>Worksheet!K23</f>
        <v>0.38</v>
      </c>
      <c r="D24" s="37">
        <f>Worksheet!L23</f>
        <v>0.4005791505791505</v>
      </c>
      <c r="E24" s="37">
        <f>Worksheet!M23</f>
        <v>0.42262511837983535</v>
      </c>
      <c r="F24" s="37">
        <f>Worksheet!N23</f>
        <v>0.40397574123989227</v>
      </c>
      <c r="G24" s="37">
        <f>Worksheet!O23</f>
        <v>0.40909323998818153</v>
      </c>
      <c r="H24" s="53"/>
    </row>
    <row r="25" spans="1:8" x14ac:dyDescent="0.2">
      <c r="A25" s="18"/>
      <c r="B25" s="33" t="str">
        <f>Worksheet!J24</f>
        <v>Mark-up Equivalent</v>
      </c>
      <c r="C25" s="37">
        <f>Worksheet!K24</f>
        <v>0.61290322580645151</v>
      </c>
      <c r="D25" s="38">
        <f>Worksheet!L24</f>
        <v>0.66827697262479857</v>
      </c>
      <c r="E25" s="38">
        <f>Worksheet!M24</f>
        <v>0.73197697342480872</v>
      </c>
      <c r="F25" s="37">
        <f>Worksheet!N24</f>
        <v>0.67778405879027726</v>
      </c>
      <c r="G25" s="37">
        <f>Worksheet!O24</f>
        <v>0.69231436780313604</v>
      </c>
      <c r="H25" s="53"/>
    </row>
    <row r="26" spans="1:8" x14ac:dyDescent="0.2">
      <c r="A26" s="18"/>
      <c r="B26" s="143" t="str">
        <f>Worksheet!J25</f>
        <v>Fixed Costs</v>
      </c>
      <c r="C26" s="28"/>
      <c r="D26" s="39"/>
      <c r="E26" s="39"/>
      <c r="F26" s="28"/>
      <c r="G26" s="28"/>
      <c r="H26" s="53"/>
    </row>
    <row r="27" spans="1:8" x14ac:dyDescent="0.2">
      <c r="A27" s="18"/>
      <c r="B27" s="144" t="str">
        <f>Worksheet!J26</f>
        <v>Location</v>
      </c>
      <c r="C27" s="50">
        <f>Worksheet!K26</f>
        <v>40000</v>
      </c>
      <c r="D27" s="49">
        <f>Worksheet!L26</f>
        <v>41593.75</v>
      </c>
      <c r="E27" s="49">
        <f>Worksheet!M26</f>
        <v>42289.375</v>
      </c>
      <c r="F27" s="50">
        <f>Worksheet!N26</f>
        <v>43207.253630705396</v>
      </c>
      <c r="G27" s="212">
        <f>Worksheet!O26</f>
        <v>42363.459543568468</v>
      </c>
      <c r="H27" s="53"/>
    </row>
    <row r="28" spans="1:8" x14ac:dyDescent="0.2">
      <c r="A28" s="18"/>
      <c r="B28" s="33" t="str">
        <f>Worksheet!J27</f>
        <v>% Revenue</v>
      </c>
      <c r="C28" s="34">
        <f>Worksheet!K27</f>
        <v>0.08</v>
      </c>
      <c r="D28" s="35">
        <f>Worksheet!L27</f>
        <v>7.1752021563342316E-2</v>
      </c>
      <c r="E28" s="35">
        <f>Worksheet!M27</f>
        <v>6.8822661852209741E-2</v>
      </c>
      <c r="F28" s="34">
        <f>Worksheet!N27</f>
        <v>6.5429581105724124E-2</v>
      </c>
      <c r="G28" s="34">
        <f>Worksheet!O27</f>
        <v>6.8530105823990273E-2</v>
      </c>
      <c r="H28" s="53"/>
    </row>
    <row r="29" spans="1:8" x14ac:dyDescent="0.2">
      <c r="A29" s="18"/>
      <c r="B29" s="144" t="str">
        <f>Worksheet!J28</f>
        <v>Administration</v>
      </c>
      <c r="C29" s="50">
        <f>Worksheet!K28</f>
        <v>30000</v>
      </c>
      <c r="D29" s="49">
        <f>Worksheet!L28</f>
        <v>31195.3125</v>
      </c>
      <c r="E29" s="49">
        <f>Worksheet!M28</f>
        <v>30973.663330078125</v>
      </c>
      <c r="F29" s="50">
        <f>Worksheet!N28</f>
        <v>29854.658224341321</v>
      </c>
      <c r="G29" s="212">
        <f>Worksheet!O28</f>
        <v>30674.544684806478</v>
      </c>
      <c r="H29" s="53"/>
    </row>
    <row r="30" spans="1:8" x14ac:dyDescent="0.2">
      <c r="A30" s="18"/>
      <c r="B30" s="33" t="str">
        <f>Worksheet!J29</f>
        <v>% Revenue</v>
      </c>
      <c r="C30" s="34">
        <f>Worksheet!K29</f>
        <v>0.06</v>
      </c>
      <c r="D30" s="35">
        <f>Worksheet!L29</f>
        <v>5.3814016172506737E-2</v>
      </c>
      <c r="E30" s="35">
        <f>Worksheet!M29</f>
        <v>5.0407223036286426E-2</v>
      </c>
      <c r="F30" s="34">
        <f>Worksheet!N29</f>
        <v>4.520948723954625E-2</v>
      </c>
      <c r="G30" s="34">
        <f>Worksheet!O29</f>
        <v>4.9621296655212553E-2</v>
      </c>
      <c r="H30" s="53"/>
    </row>
    <row r="31" spans="1:8" x14ac:dyDescent="0.2">
      <c r="A31" s="18"/>
      <c r="B31" s="144" t="str">
        <f>Worksheet!J30</f>
        <v>Labor excluding Owner</v>
      </c>
      <c r="C31" s="50">
        <f>Worksheet!K30</f>
        <v>50000</v>
      </c>
      <c r="D31" s="49">
        <f>Worksheet!L30</f>
        <v>51992.1875</v>
      </c>
      <c r="E31" s="49">
        <f>Worksheet!M30</f>
        <v>53171.455383300781</v>
      </c>
      <c r="F31" s="50">
        <f>Worksheet!N30</f>
        <v>53300.516483190717</v>
      </c>
      <c r="G31" s="212">
        <f>Worksheet!O30</f>
        <v>52821.386455497159</v>
      </c>
      <c r="H31" s="53"/>
    </row>
    <row r="32" spans="1:8" x14ac:dyDescent="0.2">
      <c r="A32" s="18"/>
      <c r="B32" s="33" t="str">
        <f>Worksheet!J31</f>
        <v>% Revenue</v>
      </c>
      <c r="C32" s="34">
        <f>Worksheet!K31</f>
        <v>0.1</v>
      </c>
      <c r="D32" s="35">
        <f>Worksheet!L31</f>
        <v>8.9690026954177896E-2</v>
      </c>
      <c r="E32" s="35">
        <f>Worksheet!M31</f>
        <v>8.6532399545625027E-2</v>
      </c>
      <c r="F32" s="34">
        <f>Worksheet!N31</f>
        <v>8.0714004551669924E-2</v>
      </c>
      <c r="G32" s="34">
        <f>Worksheet!O31</f>
        <v>8.5447582481838785E-2</v>
      </c>
      <c r="H32" s="53"/>
    </row>
    <row r="33" spans="1:8" x14ac:dyDescent="0.2">
      <c r="A33" s="18"/>
      <c r="B33" s="144" t="str">
        <f>Worksheet!J32</f>
        <v>Labor Owner</v>
      </c>
      <c r="C33" s="50">
        <f>Worksheet!K32</f>
        <v>10000</v>
      </c>
      <c r="D33" s="49">
        <f>Worksheet!L32</f>
        <v>10398.4375</v>
      </c>
      <c r="E33" s="49">
        <f>Worksheet!M32</f>
        <v>10634.291076660156</v>
      </c>
      <c r="F33" s="50">
        <f>Worksheet!N32</f>
        <v>10660.103296638141</v>
      </c>
      <c r="G33" s="212">
        <f>Worksheet!O32</f>
        <v>10564.277291099432</v>
      </c>
      <c r="H33" s="53"/>
    </row>
    <row r="34" spans="1:8" x14ac:dyDescent="0.2">
      <c r="A34" s="18"/>
      <c r="B34" s="33" t="str">
        <f>Worksheet!J33</f>
        <v>% Revenue</v>
      </c>
      <c r="C34" s="34">
        <f>Worksheet!K33</f>
        <v>0.02</v>
      </c>
      <c r="D34" s="35">
        <f>Worksheet!L33</f>
        <v>1.7938005390835579E-2</v>
      </c>
      <c r="E34" s="35">
        <f>Worksheet!M33</f>
        <v>1.7306479909125008E-2</v>
      </c>
      <c r="F34" s="34">
        <f>Worksheet!N33</f>
        <v>1.6142800910333981E-2</v>
      </c>
      <c r="G34" s="34">
        <f>Worksheet!O33</f>
        <v>1.7089516496367755E-2</v>
      </c>
      <c r="H34" s="53"/>
    </row>
    <row r="35" spans="1:8" x14ac:dyDescent="0.2">
      <c r="A35" s="18"/>
      <c r="B35" s="144" t="str">
        <f>Worksheet!J34</f>
        <v>Interest Costs</v>
      </c>
      <c r="C35" s="50">
        <f>Worksheet!K34</f>
        <v>0</v>
      </c>
      <c r="D35" s="49">
        <f>Worksheet!L34</f>
        <v>0</v>
      </c>
      <c r="E35" s="49">
        <f>Worksheet!M34</f>
        <v>0</v>
      </c>
      <c r="F35" s="49">
        <f>Worksheet!N34</f>
        <v>0</v>
      </c>
      <c r="G35" s="212">
        <f>Worksheet!O34</f>
        <v>0</v>
      </c>
      <c r="H35" s="53"/>
    </row>
    <row r="36" spans="1:8" x14ac:dyDescent="0.2">
      <c r="A36" s="18"/>
      <c r="B36" s="33" t="str">
        <f>Worksheet!J35</f>
        <v>% Revenue</v>
      </c>
      <c r="C36" s="34">
        <f>Worksheet!K35</f>
        <v>0</v>
      </c>
      <c r="D36" s="34">
        <f>Worksheet!L35</f>
        <v>0</v>
      </c>
      <c r="E36" s="34">
        <f>Worksheet!M35</f>
        <v>0</v>
      </c>
      <c r="F36" s="34">
        <f>Worksheet!N35</f>
        <v>0</v>
      </c>
      <c r="G36" s="34">
        <f>Worksheet!O35</f>
        <v>0</v>
      </c>
      <c r="H36" s="53"/>
    </row>
    <row r="37" spans="1:8" x14ac:dyDescent="0.2">
      <c r="A37" s="18"/>
      <c r="B37" s="144" t="str">
        <f>Worksheet!J36</f>
        <v>Other</v>
      </c>
      <c r="C37" s="50">
        <f>Worksheet!K36</f>
        <v>0</v>
      </c>
      <c r="D37" s="49">
        <f>Worksheet!L36</f>
        <v>0</v>
      </c>
      <c r="E37" s="49">
        <f>Worksheet!M36</f>
        <v>0</v>
      </c>
      <c r="F37" s="50">
        <f>Worksheet!N36</f>
        <v>0</v>
      </c>
      <c r="G37" s="212">
        <f>Worksheet!O36</f>
        <v>0</v>
      </c>
      <c r="H37" s="53"/>
    </row>
    <row r="38" spans="1:8" x14ac:dyDescent="0.2">
      <c r="A38" s="18"/>
      <c r="B38" s="33" t="str">
        <f>Worksheet!J37</f>
        <v>% Revenue</v>
      </c>
      <c r="C38" s="34">
        <f>Worksheet!K37</f>
        <v>0</v>
      </c>
      <c r="D38" s="35">
        <f>Worksheet!L37</f>
        <v>0</v>
      </c>
      <c r="E38" s="35">
        <f>Worksheet!M37</f>
        <v>0</v>
      </c>
      <c r="F38" s="34">
        <f>Worksheet!N37</f>
        <v>0</v>
      </c>
      <c r="G38" s="34">
        <f>Worksheet!O37</f>
        <v>0</v>
      </c>
      <c r="H38" s="53"/>
    </row>
    <row r="39" spans="1:8" x14ac:dyDescent="0.2">
      <c r="A39" s="18"/>
      <c r="B39" s="144" t="str">
        <f>Worksheet!J38</f>
        <v>Total Fixed Costs</v>
      </c>
      <c r="C39" s="51">
        <f>Worksheet!K38</f>
        <v>130000</v>
      </c>
      <c r="D39" s="51">
        <f>Worksheet!L38</f>
        <v>135179.6875</v>
      </c>
      <c r="E39" s="51">
        <f>Worksheet!M38</f>
        <v>137068.78479003906</v>
      </c>
      <c r="F39" s="51">
        <f>Worksheet!N38</f>
        <v>137022.53163487557</v>
      </c>
      <c r="G39" s="51">
        <f>Worksheet!O38</f>
        <v>136423.66797497155</v>
      </c>
      <c r="H39" s="53"/>
    </row>
    <row r="40" spans="1:8" x14ac:dyDescent="0.2">
      <c r="A40" s="18"/>
      <c r="B40" s="33" t="str">
        <f>Worksheet!J39</f>
        <v>Total Fixed Costs %</v>
      </c>
      <c r="C40" s="37">
        <f>Worksheet!K39</f>
        <v>0.26</v>
      </c>
      <c r="D40" s="37">
        <f>Worksheet!L39</f>
        <v>0.23319407008086254</v>
      </c>
      <c r="E40" s="37">
        <f>Worksheet!M39</f>
        <v>0.22306876434324621</v>
      </c>
      <c r="F40" s="37">
        <f>Worksheet!N39</f>
        <v>0.20749587380727427</v>
      </c>
      <c r="G40" s="37">
        <f>Worksheet!O39</f>
        <v>0.2206885014574094</v>
      </c>
      <c r="H40" s="53"/>
    </row>
    <row r="41" spans="1:8" x14ac:dyDescent="0.2">
      <c r="A41" s="18"/>
      <c r="B41" s="30"/>
      <c r="C41" s="34"/>
      <c r="D41" s="38"/>
      <c r="E41" s="38"/>
      <c r="F41" s="37"/>
      <c r="G41" s="63"/>
      <c r="H41" s="53"/>
    </row>
    <row r="42" spans="1:8" x14ac:dyDescent="0.2">
      <c r="A42" s="18"/>
      <c r="B42" s="17" t="str">
        <f>Worksheet!J41</f>
        <v>Total Expenses</v>
      </c>
      <c r="C42" s="51">
        <f>Worksheet!K41</f>
        <v>440000</v>
      </c>
      <c r="D42" s="52">
        <f>Worksheet!L41</f>
        <v>482656.4611486487</v>
      </c>
      <c r="E42" s="52">
        <f>Worksheet!M41</f>
        <v>491847.6065805796</v>
      </c>
      <c r="F42" s="51">
        <f>Worksheet!N41</f>
        <v>530614.70940977172</v>
      </c>
      <c r="G42" s="51">
        <f>Worksheet!O41</f>
        <v>501706.25904633338</v>
      </c>
      <c r="H42" s="53"/>
    </row>
    <row r="43" spans="1:8" x14ac:dyDescent="0.2">
      <c r="A43" s="18"/>
      <c r="B43" s="40"/>
      <c r="C43" s="32"/>
      <c r="D43" s="31"/>
      <c r="E43" s="31"/>
      <c r="F43" s="32"/>
      <c r="G43" s="63"/>
      <c r="H43" s="53"/>
    </row>
    <row r="44" spans="1:8" x14ac:dyDescent="0.2">
      <c r="A44" s="18"/>
      <c r="B44" s="146" t="str">
        <f>Worksheet!J43</f>
        <v>Operating Surplus</v>
      </c>
      <c r="C44" s="51">
        <f>Worksheet!K43</f>
        <v>60000</v>
      </c>
      <c r="D44" s="52">
        <f>Worksheet!L43</f>
        <v>97031.038851351303</v>
      </c>
      <c r="E44" s="52">
        <f>Worksheet!M43</f>
        <v>122621.1434194204</v>
      </c>
      <c r="F44" s="51">
        <f>Worksheet!N43</f>
        <v>129747.972125498</v>
      </c>
      <c r="G44" s="51">
        <f>Worksheet!O43</f>
        <v>116466.7181320899</v>
      </c>
      <c r="H44" s="53"/>
    </row>
    <row r="45" spans="1:8" x14ac:dyDescent="0.2">
      <c r="A45" s="18"/>
      <c r="B45" s="33" t="str">
        <f>Worksheet!J44</f>
        <v>Operating Surplus %</v>
      </c>
      <c r="C45" s="37">
        <f>Worksheet!K44</f>
        <v>0.12</v>
      </c>
      <c r="D45" s="37">
        <f>Worksheet!L44</f>
        <v>0.16738508049828796</v>
      </c>
      <c r="E45" s="37">
        <f>Worksheet!M44</f>
        <v>0.19955635403658917</v>
      </c>
      <c r="F45" s="37">
        <f>Worksheet!N44</f>
        <v>0.19647986743261808</v>
      </c>
      <c r="G45" s="37">
        <f>Worksheet!O44</f>
        <v>0.1884047385307723</v>
      </c>
      <c r="H45" s="53"/>
    </row>
    <row r="46" spans="1:8" x14ac:dyDescent="0.2">
      <c r="A46" s="18"/>
      <c r="B46" s="149"/>
      <c r="C46" s="37"/>
      <c r="D46" s="37"/>
      <c r="E46" s="37"/>
      <c r="F46" s="37"/>
      <c r="G46" s="37"/>
      <c r="H46" s="59"/>
    </row>
    <row r="47" spans="1:8" x14ac:dyDescent="0.2">
      <c r="A47" s="18"/>
      <c r="B47" s="298" t="str">
        <f>Worksheet!J46</f>
        <v>LESS</v>
      </c>
      <c r="C47" s="37"/>
      <c r="D47" s="37"/>
      <c r="E47" s="37"/>
      <c r="F47" s="37"/>
      <c r="G47" s="37"/>
      <c r="H47" s="60"/>
    </row>
    <row r="48" spans="1:8" x14ac:dyDescent="0.2">
      <c r="A48" s="18"/>
      <c r="B48" s="150" t="str">
        <f>Worksheet!J47</f>
        <v>Depreciation Allowance</v>
      </c>
      <c r="C48" s="286">
        <f>Worksheet!K47</f>
        <v>12500</v>
      </c>
      <c r="D48" s="286">
        <f>Worksheet!L47</f>
        <v>12998.046875</v>
      </c>
      <c r="E48" s="286">
        <f>Worksheet!M47</f>
        <v>13215.4296875</v>
      </c>
      <c r="F48" s="286">
        <f>Worksheet!N47</f>
        <v>13502.266759595435</v>
      </c>
      <c r="G48" s="301">
        <f>Worksheet!O47</f>
        <v>13238.581107365144</v>
      </c>
      <c r="H48" s="22"/>
    </row>
    <row r="49" spans="1:8" x14ac:dyDescent="0.2">
      <c r="A49" s="18"/>
      <c r="B49" s="149"/>
      <c r="C49" s="285"/>
      <c r="D49" s="285"/>
      <c r="E49" s="285"/>
      <c r="F49" s="285"/>
      <c r="G49" s="284"/>
      <c r="H49" s="152"/>
    </row>
    <row r="50" spans="1:8" x14ac:dyDescent="0.2">
      <c r="A50" s="18"/>
      <c r="B50" s="150" t="str">
        <f>Worksheet!J49</f>
        <v>Business Return</v>
      </c>
      <c r="C50" s="289">
        <f>Worksheet!K49</f>
        <v>47500</v>
      </c>
      <c r="D50" s="289">
        <f>Worksheet!L49</f>
        <v>84032.991976351303</v>
      </c>
      <c r="E50" s="289">
        <f>Worksheet!M49</f>
        <v>109405.7137319204</v>
      </c>
      <c r="F50" s="289">
        <f>Worksheet!N49</f>
        <v>116245.70536590256</v>
      </c>
      <c r="G50" s="302">
        <f>Worksheet!O49</f>
        <v>103228.13702472475</v>
      </c>
      <c r="H50" s="152"/>
    </row>
    <row r="51" spans="1:8" x14ac:dyDescent="0.2">
      <c r="A51" s="18"/>
      <c r="B51" s="149" t="str">
        <f>Worksheet!J50</f>
        <v>Business Return %</v>
      </c>
      <c r="C51" s="296">
        <f>Worksheet!K50</f>
        <v>9.5000000000000001E-2</v>
      </c>
      <c r="D51" s="296">
        <f>Worksheet!L50</f>
        <v>0.14496257375974347</v>
      </c>
      <c r="E51" s="296">
        <f>Worksheet!M50</f>
        <v>0.17804927220777364</v>
      </c>
      <c r="F51" s="296">
        <f>Worksheet!N50</f>
        <v>0.17603312333707929</v>
      </c>
      <c r="G51" s="297">
        <f>Worksheet!O50</f>
        <v>0.16698908046077535</v>
      </c>
      <c r="H51" s="152"/>
    </row>
    <row r="52" spans="1:8" x14ac:dyDescent="0.2">
      <c r="A52" s="18"/>
      <c r="B52" s="287"/>
      <c r="C52" s="38"/>
      <c r="D52" s="37"/>
      <c r="E52" s="37"/>
      <c r="F52" s="37"/>
      <c r="G52" s="63"/>
      <c r="H52" s="152"/>
    </row>
    <row r="53" spans="1:8" x14ac:dyDescent="0.2">
      <c r="A53" s="18"/>
      <c r="B53" s="547"/>
      <c r="C53" s="547"/>
      <c r="D53" s="547"/>
      <c r="E53" s="547"/>
      <c r="F53" s="547"/>
      <c r="G53" s="547"/>
      <c r="H53" s="153"/>
    </row>
    <row r="54" spans="1:8" ht="18" x14ac:dyDescent="0.2">
      <c r="A54" s="18"/>
      <c r="B54" s="549"/>
      <c r="C54" s="549"/>
      <c r="D54" s="549"/>
      <c r="E54" s="549"/>
      <c r="F54" s="549"/>
      <c r="G54" s="549"/>
      <c r="H54" s="153"/>
    </row>
    <row r="55" spans="1:8" ht="18" x14ac:dyDescent="0.2">
      <c r="A55" s="18"/>
      <c r="B55" s="548"/>
      <c r="C55" s="548"/>
      <c r="D55" s="548"/>
      <c r="E55" s="548"/>
      <c r="F55" s="548"/>
      <c r="G55" s="548"/>
      <c r="H55" s="153"/>
    </row>
    <row r="56" spans="1:8" ht="18" x14ac:dyDescent="0.2">
      <c r="A56" s="3"/>
      <c r="B56" s="524"/>
      <c r="C56" s="524"/>
      <c r="D56" s="524"/>
      <c r="E56" s="524"/>
      <c r="F56" s="524"/>
      <c r="G56" s="524"/>
      <c r="H56" s="153"/>
    </row>
    <row r="57" spans="1:8" ht="18" x14ac:dyDescent="0.2">
      <c r="A57" s="3"/>
      <c r="B57" s="525"/>
      <c r="C57" s="525"/>
      <c r="D57" s="525"/>
      <c r="E57" s="525"/>
      <c r="F57" s="525"/>
      <c r="G57" s="525"/>
      <c r="H57" s="153"/>
    </row>
    <row r="58" spans="1:8" ht="18" x14ac:dyDescent="0.2">
      <c r="A58" s="2"/>
      <c r="B58" s="526"/>
      <c r="C58" s="526"/>
      <c r="D58" s="526"/>
      <c r="E58" s="526"/>
      <c r="F58" s="526"/>
      <c r="G58" s="526"/>
      <c r="H58" s="2"/>
    </row>
    <row r="59" spans="1:8" ht="18" x14ac:dyDescent="0.2">
      <c r="A59" s="2"/>
      <c r="B59" s="520"/>
      <c r="C59" s="520"/>
      <c r="D59" s="520"/>
      <c r="E59" s="520"/>
      <c r="F59" s="520"/>
      <c r="G59" s="520"/>
      <c r="H59" s="2"/>
    </row>
    <row r="60" spans="1:8" ht="18" x14ac:dyDescent="0.2">
      <c r="A60" s="2"/>
      <c r="B60" s="521"/>
      <c r="C60" s="521"/>
      <c r="D60" s="521"/>
      <c r="E60" s="521"/>
      <c r="F60" s="521"/>
      <c r="G60" s="521"/>
      <c r="H60" s="2"/>
    </row>
    <row r="61" spans="1:8" ht="18" x14ac:dyDescent="0.2">
      <c r="A61" s="2"/>
      <c r="B61" s="475"/>
      <c r="C61" s="475"/>
      <c r="D61" s="475"/>
      <c r="E61" s="475"/>
      <c r="F61" s="475"/>
      <c r="G61" s="475"/>
      <c r="H61" s="2"/>
    </row>
    <row r="62" spans="1:8" x14ac:dyDescent="0.2">
      <c r="A62" s="2"/>
      <c r="B62" s="522"/>
      <c r="C62" s="522"/>
      <c r="D62" s="522"/>
      <c r="E62" s="522"/>
      <c r="F62" s="522"/>
      <c r="G62" s="522"/>
      <c r="H62" s="2"/>
    </row>
    <row r="63" spans="1:8" x14ac:dyDescent="0.2">
      <c r="A63" s="2"/>
      <c r="B63" s="2"/>
      <c r="C63" s="2"/>
      <c r="D63" s="2"/>
      <c r="E63" s="2"/>
      <c r="F63" s="2"/>
      <c r="G63" s="2"/>
      <c r="H63" s="2"/>
    </row>
  </sheetData>
  <sheetProtection algorithmName="SHA-512" hashValue="8cTyhTwtAHkQdTXR9BayncmOcwdLaHiYQ9WezUC3EEwZS/BKVW03CtShrR/NRKSRU9XT4zC5pMEZ3QupXf9d0Q==" saltValue="I0/HNfTc9BlsJBw4QxiV7w==" spinCount="100000" sheet="1" objects="1" scenarios="1" formatCells="0" formatColumns="0" formatRows="0"/>
  <mergeCells count="11">
    <mergeCell ref="B2:G2"/>
    <mergeCell ref="B53:G53"/>
    <mergeCell ref="B54:G54"/>
    <mergeCell ref="B56:G56"/>
    <mergeCell ref="B55:G55"/>
    <mergeCell ref="B61:G61"/>
    <mergeCell ref="B62:G62"/>
    <mergeCell ref="B57:G57"/>
    <mergeCell ref="B58:G58"/>
    <mergeCell ref="B59:G59"/>
    <mergeCell ref="B60:G60"/>
  </mergeCells>
  <phoneticPr fontId="0" type="noConversion"/>
  <printOptions horizontalCentered="1" verticalCentered="1"/>
  <pageMargins left="0.74803149606299213" right="0.74803149606299213" top="0.98425196850393704" bottom="0.98425196850393704" header="0.51181102362204722" footer="0.51181102362204722"/>
  <pageSetup paperSize="9" scale="77" orientation="portrait" horizontalDpi="360" verticalDpi="0" copies="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63"/>
  <sheetViews>
    <sheetView showGridLines="0" zoomScaleNormal="100" workbookViewId="0"/>
  </sheetViews>
  <sheetFormatPr defaultRowHeight="12.75" x14ac:dyDescent="0.2"/>
  <cols>
    <col min="1" max="1" width="2.28515625" customWidth="1"/>
    <col min="2" max="2" width="39.140625" customWidth="1"/>
    <col min="3" max="7" width="12.7109375" customWidth="1"/>
    <col min="8" max="8" width="4.28515625" customWidth="1"/>
  </cols>
  <sheetData>
    <row r="1" spans="1:8" ht="3.75" customHeight="1" x14ac:dyDescent="0.2">
      <c r="A1" s="2"/>
      <c r="B1" s="2"/>
      <c r="C1" s="2"/>
      <c r="D1" s="2"/>
      <c r="E1" s="2"/>
      <c r="F1" s="2"/>
      <c r="G1" s="2"/>
      <c r="H1" s="2"/>
    </row>
    <row r="2" spans="1:8" ht="18" x14ac:dyDescent="0.25">
      <c r="A2" s="3"/>
      <c r="B2" s="531" t="s">
        <v>106</v>
      </c>
      <c r="C2" s="532"/>
      <c r="D2" s="532"/>
      <c r="E2" s="532"/>
      <c r="F2" s="532"/>
      <c r="G2" s="533"/>
      <c r="H2" s="3"/>
    </row>
    <row r="3" spans="1:8" x14ac:dyDescent="0.2">
      <c r="A3" s="18"/>
      <c r="B3" s="213" t="str">
        <f>Worksheet!Q2</f>
        <v>Pessimistic Forecast degraded by</v>
      </c>
      <c r="C3" s="217">
        <f>Worksheet!R2</f>
        <v>0.2</v>
      </c>
      <c r="D3" s="214"/>
      <c r="E3" s="214"/>
      <c r="F3" s="215"/>
      <c r="G3" s="216"/>
      <c r="H3" s="23"/>
    </row>
    <row r="4" spans="1:8" x14ac:dyDescent="0.2">
      <c r="A4" s="18"/>
      <c r="B4" s="143" t="str">
        <f>Worksheet!Q3</f>
        <v>Acme Widgets</v>
      </c>
      <c r="C4" s="214"/>
      <c r="D4" s="214"/>
      <c r="E4" s="214"/>
      <c r="F4" s="215"/>
      <c r="G4" s="216"/>
      <c r="H4" s="23"/>
    </row>
    <row r="5" spans="1:8" ht="25.5" x14ac:dyDescent="0.2">
      <c r="A5" s="18"/>
      <c r="B5" s="147"/>
      <c r="C5" s="43" t="str">
        <f>Worksheet!R4</f>
        <v>Current Year</v>
      </c>
      <c r="D5" s="148" t="str">
        <f>Worksheet!S4</f>
        <v>Year 1</v>
      </c>
      <c r="E5" s="148" t="str">
        <f>Worksheet!T4</f>
        <v>Year 2</v>
      </c>
      <c r="F5" s="148" t="str">
        <f>Worksheet!U4</f>
        <v>Year 3</v>
      </c>
      <c r="G5" s="44" t="str">
        <f>Worksheet!V4</f>
        <v>3 Year Average</v>
      </c>
      <c r="H5" s="3"/>
    </row>
    <row r="6" spans="1:8" x14ac:dyDescent="0.2">
      <c r="A6" s="18"/>
      <c r="B6" s="143" t="str">
        <f>Worksheet!Q5</f>
        <v>Business Revenue</v>
      </c>
      <c r="C6" s="212">
        <f>Worksheet!R5</f>
        <v>500000</v>
      </c>
      <c r="D6" s="46">
        <f>Worksheet!S5</f>
        <v>542084.94208494201</v>
      </c>
      <c r="E6" s="47">
        <f>Worksheet!T5</f>
        <v>563768.33976833976</v>
      </c>
      <c r="F6" s="48">
        <f>Worksheet!U5</f>
        <v>591494.65156022529</v>
      </c>
      <c r="G6" s="212">
        <f>Worksheet!V5</f>
        <v>565782.6444711691</v>
      </c>
      <c r="H6" s="53"/>
    </row>
    <row r="7" spans="1:8" x14ac:dyDescent="0.2">
      <c r="A7" s="18"/>
      <c r="B7" s="143" t="str">
        <f>Worksheet!Q6</f>
        <v>Expenses</v>
      </c>
      <c r="C7" s="24"/>
      <c r="D7" s="25"/>
      <c r="E7" s="26"/>
      <c r="F7" s="27"/>
      <c r="G7" s="63"/>
      <c r="H7" s="53"/>
    </row>
    <row r="8" spans="1:8" x14ac:dyDescent="0.2">
      <c r="A8" s="18"/>
      <c r="B8" s="143" t="str">
        <f>Worksheet!Q7</f>
        <v>Variable Costs</v>
      </c>
      <c r="C8" s="28"/>
      <c r="D8" s="29"/>
      <c r="E8" s="29"/>
      <c r="F8" s="28"/>
      <c r="G8" s="63"/>
      <c r="H8" s="53"/>
    </row>
    <row r="9" spans="1:8" x14ac:dyDescent="0.2">
      <c r="A9" s="18"/>
      <c r="B9" s="144" t="str">
        <f>Worksheet!Q8</f>
        <v>Materials &amp; Supplies</v>
      </c>
      <c r="C9" s="50">
        <f>Worksheet!R8</f>
        <v>10000</v>
      </c>
      <c r="D9" s="49">
        <f>Worksheet!S8</f>
        <v>11116.97635135135</v>
      </c>
      <c r="E9" s="49">
        <f>Worksheet!T8</f>
        <v>11672.82516891892</v>
      </c>
      <c r="F9" s="50">
        <f>Worksheet!U8</f>
        <v>12246.898537882147</v>
      </c>
      <c r="G9" s="212">
        <f>Worksheet!V8</f>
        <v>11678.90001938414</v>
      </c>
      <c r="H9" s="55"/>
    </row>
    <row r="10" spans="1:8" x14ac:dyDescent="0.2">
      <c r="A10" s="18"/>
      <c r="B10" s="33" t="str">
        <f>Worksheet!Q9</f>
        <v>% Revenue</v>
      </c>
      <c r="C10" s="34">
        <f>Worksheet!R9</f>
        <v>0.02</v>
      </c>
      <c r="D10" s="35">
        <f>Worksheet!S9</f>
        <v>2.05078125E-2</v>
      </c>
      <c r="E10" s="35">
        <f>Worksheet!T9</f>
        <v>2.0705003004807696E-2</v>
      </c>
      <c r="F10" s="34">
        <f>Worksheet!U9</f>
        <v>2.0705003004807699E-2</v>
      </c>
      <c r="G10" s="34">
        <f>Worksheet!V9</f>
        <v>2.0642025932591627E-2</v>
      </c>
      <c r="H10" s="55"/>
    </row>
    <row r="11" spans="1:8" x14ac:dyDescent="0.2">
      <c r="A11" s="18"/>
      <c r="B11" s="144" t="str">
        <f>Worksheet!Q10</f>
        <v>Labor excluding Owner</v>
      </c>
      <c r="C11" s="50">
        <f>Worksheet!R10</f>
        <v>200000</v>
      </c>
      <c r="D11" s="49">
        <f>Worksheet!S10</f>
        <v>214900.33783783778</v>
      </c>
      <c r="E11" s="49">
        <f>Worksheet!T10</f>
        <v>222879.78046240841</v>
      </c>
      <c r="F11" s="50">
        <f>Worksheet!U10</f>
        <v>250882.66180386988</v>
      </c>
      <c r="G11" s="212">
        <f>Worksheet!V10</f>
        <v>229554.26003470537</v>
      </c>
      <c r="H11" s="55"/>
    </row>
    <row r="12" spans="1:8" x14ac:dyDescent="0.2">
      <c r="A12" s="18"/>
      <c r="B12" s="33" t="str">
        <f>Worksheet!Q11</f>
        <v>% Revenue</v>
      </c>
      <c r="C12" s="34">
        <f>Worksheet!R11</f>
        <v>0.4</v>
      </c>
      <c r="D12" s="35">
        <f>Worksheet!S11</f>
        <v>0.39643295940170936</v>
      </c>
      <c r="E12" s="35">
        <f>Worksheet!T11</f>
        <v>0.39533929939022971</v>
      </c>
      <c r="F12" s="34">
        <f>Worksheet!U11</f>
        <v>0.42415034716222672</v>
      </c>
      <c r="G12" s="34">
        <f>Worksheet!V11</f>
        <v>0.40572870567506936</v>
      </c>
      <c r="H12" s="54"/>
    </row>
    <row r="13" spans="1:8" x14ac:dyDescent="0.2">
      <c r="A13" s="18"/>
      <c r="B13" s="144" t="str">
        <f>Worksheet!Q12</f>
        <v>Labor Owner</v>
      </c>
      <c r="C13" s="50">
        <f>Worksheet!R12</f>
        <v>50000</v>
      </c>
      <c r="D13" s="49">
        <f>Worksheet!S12</f>
        <v>49789.575289575288</v>
      </c>
      <c r="E13" s="49">
        <f>Worksheet!T12</f>
        <v>51338.969537591584</v>
      </c>
      <c r="F13" s="50">
        <f>Worksheet!U12</f>
        <v>54084.551310884242</v>
      </c>
      <c r="G13" s="212">
        <f>Worksheet!V12</f>
        <v>51737.698712683712</v>
      </c>
      <c r="H13" s="55"/>
    </row>
    <row r="14" spans="1:8" x14ac:dyDescent="0.2">
      <c r="A14" s="18"/>
      <c r="B14" s="33" t="str">
        <f>Worksheet!Q13</f>
        <v>% Revenue</v>
      </c>
      <c r="C14" s="34">
        <f>Worksheet!R13</f>
        <v>0.1</v>
      </c>
      <c r="D14" s="35">
        <f>Worksheet!S13</f>
        <v>9.1848290598290611E-2</v>
      </c>
      <c r="E14" s="35">
        <f>Worksheet!T13</f>
        <v>9.1063945802077995E-2</v>
      </c>
      <c r="F14" s="34">
        <f>Worksheet!U13</f>
        <v>9.1437092741619513E-2</v>
      </c>
      <c r="G14" s="34">
        <f>Worksheet!V13</f>
        <v>9.1444478225454193E-2</v>
      </c>
      <c r="H14" s="54"/>
    </row>
    <row r="15" spans="1:8" x14ac:dyDescent="0.2">
      <c r="A15" s="18"/>
      <c r="B15" s="144" t="str">
        <f>Worksheet!Q14</f>
        <v>Distribution</v>
      </c>
      <c r="C15" s="50">
        <f>Worksheet!R14</f>
        <v>20000</v>
      </c>
      <c r="D15" s="49">
        <f>Worksheet!S14</f>
        <v>21175.193050193047</v>
      </c>
      <c r="E15" s="49">
        <f>Worksheet!T14</f>
        <v>21175.193050193051</v>
      </c>
      <c r="F15" s="50">
        <f>Worksheet!U14</f>
        <v>22216.595987087789</v>
      </c>
      <c r="G15" s="212">
        <f>Worksheet!V14</f>
        <v>21522.327362491294</v>
      </c>
      <c r="H15" s="55"/>
    </row>
    <row r="16" spans="1:8" x14ac:dyDescent="0.2">
      <c r="A16" s="18"/>
      <c r="B16" s="33" t="str">
        <f>Worksheet!Q15</f>
        <v>% Revenue</v>
      </c>
      <c r="C16" s="34">
        <f>Worksheet!R15</f>
        <v>0.04</v>
      </c>
      <c r="D16" s="35">
        <f>Worksheet!S15</f>
        <v>3.90625E-2</v>
      </c>
      <c r="E16" s="35">
        <f>Worksheet!T15</f>
        <v>3.7560096153846152E-2</v>
      </c>
      <c r="F16" s="34">
        <f>Worksheet!U15</f>
        <v>3.7560096153846152E-2</v>
      </c>
      <c r="G16" s="34">
        <f>Worksheet!V15</f>
        <v>3.8039921465968581E-2</v>
      </c>
      <c r="H16" s="54"/>
    </row>
    <row r="17" spans="1:8" x14ac:dyDescent="0.2">
      <c r="A17" s="18"/>
      <c r="B17" s="144" t="str">
        <f>Worksheet!Q16</f>
        <v>Marketing</v>
      </c>
      <c r="C17" s="50">
        <f>Worksheet!R16</f>
        <v>10000</v>
      </c>
      <c r="D17" s="49">
        <f>Worksheet!S16</f>
        <v>10587.596525096524</v>
      </c>
      <c r="E17" s="49">
        <f>Worksheet!T16</f>
        <v>10587.596525096526</v>
      </c>
      <c r="F17" s="50">
        <f>Worksheet!U16</f>
        <v>11108.297993543894</v>
      </c>
      <c r="G17" s="212">
        <f>Worksheet!V16</f>
        <v>10761.163681245647</v>
      </c>
      <c r="H17" s="55"/>
    </row>
    <row r="18" spans="1:8" x14ac:dyDescent="0.2">
      <c r="A18" s="18"/>
      <c r="B18" s="33" t="str">
        <f>Worksheet!Q17</f>
        <v>% Revenue</v>
      </c>
      <c r="C18" s="34">
        <f>Worksheet!R17</f>
        <v>0.02</v>
      </c>
      <c r="D18" s="35">
        <f>Worksheet!S17</f>
        <v>1.953125E-2</v>
      </c>
      <c r="E18" s="35">
        <f>Worksheet!T17</f>
        <v>1.8780048076923076E-2</v>
      </c>
      <c r="F18" s="34">
        <f>Worksheet!U17</f>
        <v>1.8780048076923076E-2</v>
      </c>
      <c r="G18" s="34">
        <f>Worksheet!V17</f>
        <v>1.901996073298429E-2</v>
      </c>
      <c r="H18" s="54"/>
    </row>
    <row r="19" spans="1:8" x14ac:dyDescent="0.2">
      <c r="A19" s="18"/>
      <c r="B19" s="144" t="str">
        <f>Worksheet!Q18</f>
        <v>Other</v>
      </c>
      <c r="C19" s="50">
        <f>Worksheet!R18</f>
        <v>20000</v>
      </c>
      <c r="D19" s="50">
        <f>Worksheet!S18</f>
        <v>21175.193050193047</v>
      </c>
      <c r="E19" s="50">
        <f>Worksheet!T18</f>
        <v>21175.193050193051</v>
      </c>
      <c r="F19" s="50">
        <f>Worksheet!U18</f>
        <v>22216.595987087789</v>
      </c>
      <c r="G19" s="212">
        <f>Worksheet!V18</f>
        <v>21522.327362491294</v>
      </c>
      <c r="H19" s="55"/>
    </row>
    <row r="20" spans="1:8" x14ac:dyDescent="0.2">
      <c r="A20" s="18"/>
      <c r="B20" s="33" t="str">
        <f>Worksheet!Q19</f>
        <v>% Revenue</v>
      </c>
      <c r="C20" s="34">
        <f>Worksheet!R19</f>
        <v>0.04</v>
      </c>
      <c r="D20" s="35">
        <f>Worksheet!S19</f>
        <v>3.90625E-2</v>
      </c>
      <c r="E20" s="35">
        <f>Worksheet!T19</f>
        <v>3.7560096153846152E-2</v>
      </c>
      <c r="F20" s="34">
        <f>Worksheet!U19</f>
        <v>3.7560096153846152E-2</v>
      </c>
      <c r="G20" s="34">
        <f>Worksheet!V19</f>
        <v>3.8039921465968581E-2</v>
      </c>
      <c r="H20" s="54"/>
    </row>
    <row r="21" spans="1:8" x14ac:dyDescent="0.2">
      <c r="A21" s="18"/>
      <c r="B21" s="144" t="str">
        <f>Worksheet!Q20</f>
        <v>Total Variable Costs</v>
      </c>
      <c r="C21" s="51">
        <f>Worksheet!R20</f>
        <v>310000</v>
      </c>
      <c r="D21" s="51">
        <f>Worksheet!S20</f>
        <v>328744.8721042471</v>
      </c>
      <c r="E21" s="51">
        <f>Worksheet!T20</f>
        <v>338829.55779440154</v>
      </c>
      <c r="F21" s="51">
        <f>Worksheet!U20</f>
        <v>372755.6016203558</v>
      </c>
      <c r="G21" s="51">
        <f>Worksheet!V20</f>
        <v>346776.67717300146</v>
      </c>
      <c r="H21" s="58"/>
    </row>
    <row r="22" spans="1:8" x14ac:dyDescent="0.2">
      <c r="A22" s="18"/>
      <c r="B22" s="33" t="str">
        <f>Worksheet!Q21</f>
        <v>Total Variable Costs %</v>
      </c>
      <c r="C22" s="37">
        <f>Worksheet!R21</f>
        <v>0.62</v>
      </c>
      <c r="D22" s="37">
        <f>Worksheet!S21</f>
        <v>0.60644531250000011</v>
      </c>
      <c r="E22" s="37">
        <f>Worksheet!T21</f>
        <v>0.60100848858173073</v>
      </c>
      <c r="F22" s="37">
        <f>Worksheet!U21</f>
        <v>0.63019268329326938</v>
      </c>
      <c r="G22" s="37">
        <f>Worksheet!V21</f>
        <v>0.61291501349803656</v>
      </c>
      <c r="H22" s="53"/>
    </row>
    <row r="23" spans="1:8" x14ac:dyDescent="0.2">
      <c r="A23" s="18"/>
      <c r="B23" s="30" t="str">
        <f>Worksheet!Q22</f>
        <v>Gross Profit</v>
      </c>
      <c r="C23" s="36">
        <f>Worksheet!R22</f>
        <v>190000</v>
      </c>
      <c r="D23" s="36">
        <f>Worksheet!S22</f>
        <v>213340.06998069491</v>
      </c>
      <c r="E23" s="36">
        <f>Worksheet!T22</f>
        <v>224938.78197393822</v>
      </c>
      <c r="F23" s="36">
        <f>Worksheet!U22</f>
        <v>218739.0499398695</v>
      </c>
      <c r="G23" s="36">
        <f>Worksheet!V22</f>
        <v>219005.96729816764</v>
      </c>
      <c r="H23" s="53"/>
    </row>
    <row r="24" spans="1:8" x14ac:dyDescent="0.2">
      <c r="A24" s="18"/>
      <c r="B24" s="33" t="str">
        <f>Worksheet!Q23</f>
        <v>Gross Profit %</v>
      </c>
      <c r="C24" s="37">
        <f>Worksheet!R23</f>
        <v>0.38</v>
      </c>
      <c r="D24" s="37">
        <f>Worksheet!S23</f>
        <v>0.39355468749999994</v>
      </c>
      <c r="E24" s="37">
        <f>Worksheet!T23</f>
        <v>0.39899151141826922</v>
      </c>
      <c r="F24" s="37">
        <f>Worksheet!U23</f>
        <v>0.36980731670673062</v>
      </c>
      <c r="G24" s="37">
        <f>Worksheet!V23</f>
        <v>0.38708498650196338</v>
      </c>
      <c r="H24" s="53"/>
    </row>
    <row r="25" spans="1:8" x14ac:dyDescent="0.2">
      <c r="A25" s="18"/>
      <c r="B25" s="33" t="str">
        <f>Worksheet!Q24</f>
        <v>Mark-up Equivalent</v>
      </c>
      <c r="C25" s="37">
        <f>Worksheet!R24</f>
        <v>0.61290322580645151</v>
      </c>
      <c r="D25" s="38">
        <f>Worksheet!S24</f>
        <v>0.64895330112721394</v>
      </c>
      <c r="E25" s="38">
        <f>Worksheet!T24</f>
        <v>0.66387001015545666</v>
      </c>
      <c r="F25" s="37">
        <f>Worksheet!U24</f>
        <v>0.58681626510512075</v>
      </c>
      <c r="G25" s="37">
        <f>Worksheet!V24</f>
        <v>0.6315475685491645</v>
      </c>
      <c r="H25" s="53"/>
    </row>
    <row r="26" spans="1:8" x14ac:dyDescent="0.2">
      <c r="A26" s="18"/>
      <c r="B26" s="143" t="str">
        <f>Worksheet!Q25</f>
        <v>Fixed Costs</v>
      </c>
      <c r="C26" s="28"/>
      <c r="D26" s="39"/>
      <c r="E26" s="39"/>
      <c r="F26" s="28"/>
      <c r="G26" s="28"/>
      <c r="H26" s="53"/>
    </row>
    <row r="27" spans="1:8" x14ac:dyDescent="0.2">
      <c r="A27" s="18"/>
      <c r="B27" s="144" t="str">
        <f>Worksheet!Q26</f>
        <v>Location</v>
      </c>
      <c r="C27" s="50">
        <f>Worksheet!R26</f>
        <v>40000</v>
      </c>
      <c r="D27" s="49">
        <f>Worksheet!S26</f>
        <v>40841.698841698839</v>
      </c>
      <c r="E27" s="49">
        <f>Worksheet!T26</f>
        <v>41275.366795366797</v>
      </c>
      <c r="F27" s="50">
        <f>Worksheet!U26</f>
        <v>41829.893031204505</v>
      </c>
      <c r="G27" s="212">
        <f>Worksheet!V26</f>
        <v>41315.652889423385</v>
      </c>
      <c r="H27" s="53"/>
    </row>
    <row r="28" spans="1:8" x14ac:dyDescent="0.2">
      <c r="A28" s="18"/>
      <c r="B28" s="33" t="str">
        <f>Worksheet!Q27</f>
        <v>% Revenue</v>
      </c>
      <c r="C28" s="34">
        <f>Worksheet!R27</f>
        <v>0.08</v>
      </c>
      <c r="D28" s="35">
        <f>Worksheet!S27</f>
        <v>7.5341880341880343E-2</v>
      </c>
      <c r="E28" s="35">
        <f>Worksheet!T27</f>
        <v>7.3213346482577255E-2</v>
      </c>
      <c r="F28" s="34">
        <f>Worksheet!U27</f>
        <v>7.0718970866206446E-2</v>
      </c>
      <c r="G28" s="34">
        <f>Worksheet!V27</f>
        <v>7.3023895824942953E-2</v>
      </c>
      <c r="H28" s="53"/>
    </row>
    <row r="29" spans="1:8" x14ac:dyDescent="0.2">
      <c r="A29" s="18"/>
      <c r="B29" s="144" t="str">
        <f>Worksheet!Q28</f>
        <v>Administration</v>
      </c>
      <c r="C29" s="50">
        <f>Worksheet!R28</f>
        <v>30000</v>
      </c>
      <c r="D29" s="49">
        <f>Worksheet!S28</f>
        <v>30631.274131274131</v>
      </c>
      <c r="E29" s="49">
        <f>Worksheet!T28</f>
        <v>30469.020764296354</v>
      </c>
      <c r="F29" s="50">
        <f>Worksheet!U28</f>
        <v>29690.736460292417</v>
      </c>
      <c r="G29" s="212">
        <f>Worksheet!V28</f>
        <v>30263.677118620966</v>
      </c>
      <c r="H29" s="53"/>
    </row>
    <row r="30" spans="1:8" x14ac:dyDescent="0.2">
      <c r="A30" s="18"/>
      <c r="B30" s="33" t="str">
        <f>Worksheet!Q29</f>
        <v>% Revenue</v>
      </c>
      <c r="C30" s="34">
        <f>Worksheet!R29</f>
        <v>0.06</v>
      </c>
      <c r="D30" s="35">
        <f>Worksheet!S29</f>
        <v>5.6506410256410261E-2</v>
      </c>
      <c r="E30" s="35">
        <f>Worksheet!T29</f>
        <v>5.4045285297178086E-2</v>
      </c>
      <c r="F30" s="34">
        <f>Worksheet!U29</f>
        <v>5.0196119917526157E-2</v>
      </c>
      <c r="G30" s="34">
        <f>Worksheet!V29</f>
        <v>5.3489935427248919E-2</v>
      </c>
      <c r="H30" s="53"/>
    </row>
    <row r="31" spans="1:8" x14ac:dyDescent="0.2">
      <c r="A31" s="18"/>
      <c r="B31" s="144" t="str">
        <f>Worksheet!Q30</f>
        <v>Labor excluding Owner</v>
      </c>
      <c r="C31" s="50">
        <f>Worksheet!R30</f>
        <v>50000</v>
      </c>
      <c r="D31" s="49">
        <f>Worksheet!S30</f>
        <v>51052.12355212355</v>
      </c>
      <c r="E31" s="49">
        <f>Worksheet!T30</f>
        <v>52305.152312042075</v>
      </c>
      <c r="F31" s="50">
        <f>Worksheet!U30</f>
        <v>54027.243445578766</v>
      </c>
      <c r="G31" s="212">
        <f>Worksheet!V30</f>
        <v>52461.506436581461</v>
      </c>
      <c r="H31" s="53"/>
    </row>
    <row r="32" spans="1:8" x14ac:dyDescent="0.2">
      <c r="A32" s="18"/>
      <c r="B32" s="33" t="str">
        <f>Worksheet!Q31</f>
        <v>% Revenue</v>
      </c>
      <c r="C32" s="34">
        <f>Worksheet!R31</f>
        <v>0.1</v>
      </c>
      <c r="D32" s="35">
        <f>Worksheet!S31</f>
        <v>9.417735042735044E-2</v>
      </c>
      <c r="E32" s="35">
        <f>Worksheet!T31</f>
        <v>9.2777739760155714E-2</v>
      </c>
      <c r="F32" s="34">
        <f>Worksheet!U31</f>
        <v>9.1340206209925084E-2</v>
      </c>
      <c r="G32" s="34">
        <f>Worksheet!V31</f>
        <v>9.272378173709564E-2</v>
      </c>
      <c r="H32" s="53"/>
    </row>
    <row r="33" spans="1:8" x14ac:dyDescent="0.2">
      <c r="A33" s="18"/>
      <c r="B33" s="144" t="str">
        <f>Worksheet!Q32</f>
        <v>Labor Owner</v>
      </c>
      <c r="C33" s="50">
        <f>Worksheet!R32</f>
        <v>10000</v>
      </c>
      <c r="D33" s="49">
        <f>Worksheet!S32</f>
        <v>10210.42471042471</v>
      </c>
      <c r="E33" s="49">
        <f>Worksheet!T32</f>
        <v>10461.030462408416</v>
      </c>
      <c r="F33" s="50">
        <f>Worksheet!U32</f>
        <v>10805.448689115756</v>
      </c>
      <c r="G33" s="212">
        <f>Worksheet!V32</f>
        <v>10492.301287316295</v>
      </c>
      <c r="H33" s="53"/>
    </row>
    <row r="34" spans="1:8" x14ac:dyDescent="0.2">
      <c r="A34" s="18"/>
      <c r="B34" s="33" t="str">
        <f>Worksheet!Q33</f>
        <v>% Revenue</v>
      </c>
      <c r="C34" s="34">
        <f>Worksheet!R33</f>
        <v>0.02</v>
      </c>
      <c r="D34" s="35">
        <f>Worksheet!S33</f>
        <v>1.8835470085470086E-2</v>
      </c>
      <c r="E34" s="35">
        <f>Worksheet!T33</f>
        <v>1.8555547952031147E-2</v>
      </c>
      <c r="F34" s="34">
        <f>Worksheet!U33</f>
        <v>1.8268041241985021E-2</v>
      </c>
      <c r="G34" s="34">
        <f>Worksheet!V33</f>
        <v>1.8544756347419131E-2</v>
      </c>
      <c r="H34" s="53"/>
    </row>
    <row r="35" spans="1:8" x14ac:dyDescent="0.2">
      <c r="A35" s="18"/>
      <c r="B35" s="144" t="str">
        <f>Worksheet!Q34</f>
        <v>Interest Costs</v>
      </c>
      <c r="C35" s="50">
        <f>Worksheet!R34</f>
        <v>0</v>
      </c>
      <c r="D35" s="49">
        <f>Worksheet!S34</f>
        <v>0</v>
      </c>
      <c r="E35" s="49">
        <f>Worksheet!T34</f>
        <v>0</v>
      </c>
      <c r="F35" s="49">
        <f>Worksheet!U34</f>
        <v>0</v>
      </c>
      <c r="G35" s="212">
        <f>Worksheet!V34</f>
        <v>0</v>
      </c>
      <c r="H35" s="53"/>
    </row>
    <row r="36" spans="1:8" x14ac:dyDescent="0.2">
      <c r="A36" s="18"/>
      <c r="B36" s="33" t="str">
        <f>Worksheet!Q35</f>
        <v>% Revenue</v>
      </c>
      <c r="C36" s="34">
        <f>Worksheet!R35</f>
        <v>0</v>
      </c>
      <c r="D36" s="34">
        <f>Worksheet!S35</f>
        <v>0</v>
      </c>
      <c r="E36" s="34">
        <f>Worksheet!T35</f>
        <v>0</v>
      </c>
      <c r="F36" s="34">
        <f>Worksheet!U35</f>
        <v>0</v>
      </c>
      <c r="G36" s="34">
        <f>Worksheet!V35</f>
        <v>0</v>
      </c>
      <c r="H36" s="53"/>
    </row>
    <row r="37" spans="1:8" x14ac:dyDescent="0.2">
      <c r="A37" s="18"/>
      <c r="B37" s="144" t="str">
        <f>Worksheet!Q36</f>
        <v>Other</v>
      </c>
      <c r="C37" s="50">
        <f>Worksheet!R36</f>
        <v>0</v>
      </c>
      <c r="D37" s="49">
        <f>Worksheet!S36</f>
        <v>0</v>
      </c>
      <c r="E37" s="49">
        <f>Worksheet!T36</f>
        <v>0</v>
      </c>
      <c r="F37" s="50">
        <f>Worksheet!U36</f>
        <v>0</v>
      </c>
      <c r="G37" s="212">
        <f>Worksheet!V36</f>
        <v>0</v>
      </c>
      <c r="H37" s="53"/>
    </row>
    <row r="38" spans="1:8" x14ac:dyDescent="0.2">
      <c r="A38" s="18"/>
      <c r="B38" s="33" t="str">
        <f>Worksheet!Q37</f>
        <v>% Revenue</v>
      </c>
      <c r="C38" s="34">
        <f>Worksheet!R37</f>
        <v>0</v>
      </c>
      <c r="D38" s="35">
        <f>Worksheet!S37</f>
        <v>0</v>
      </c>
      <c r="E38" s="35">
        <f>Worksheet!T37</f>
        <v>0</v>
      </c>
      <c r="F38" s="34">
        <f>Worksheet!U37</f>
        <v>0</v>
      </c>
      <c r="G38" s="34">
        <f>Worksheet!V37</f>
        <v>0</v>
      </c>
      <c r="H38" s="53"/>
    </row>
    <row r="39" spans="1:8" x14ac:dyDescent="0.2">
      <c r="A39" s="18"/>
      <c r="B39" s="144" t="str">
        <f>Worksheet!Q38</f>
        <v>Total Fixed Costs</v>
      </c>
      <c r="C39" s="51">
        <f>Worksheet!R38</f>
        <v>130000</v>
      </c>
      <c r="D39" s="51">
        <f>Worksheet!S38</f>
        <v>132735.52123552124</v>
      </c>
      <c r="E39" s="51">
        <f>Worksheet!T38</f>
        <v>134510.57033411364</v>
      </c>
      <c r="F39" s="51">
        <f>Worksheet!U38</f>
        <v>136353.32162619143</v>
      </c>
      <c r="G39" s="51">
        <f>Worksheet!V38</f>
        <v>134533.13773194209</v>
      </c>
      <c r="H39" s="53"/>
    </row>
    <row r="40" spans="1:8" x14ac:dyDescent="0.2">
      <c r="A40" s="18"/>
      <c r="B40" s="33" t="str">
        <f>Worksheet!Q39</f>
        <v>Total Fixed Costs %</v>
      </c>
      <c r="C40" s="37">
        <f>Worksheet!R39</f>
        <v>0.26</v>
      </c>
      <c r="D40" s="37">
        <f>Worksheet!S39</f>
        <v>0.24486111111111117</v>
      </c>
      <c r="E40" s="37">
        <f>Worksheet!T39</f>
        <v>0.23859191949194219</v>
      </c>
      <c r="F40" s="37">
        <f>Worksheet!U39</f>
        <v>0.23052333823564269</v>
      </c>
      <c r="G40" s="37">
        <f>Worksheet!V39</f>
        <v>0.2377823693367066</v>
      </c>
      <c r="H40" s="53"/>
    </row>
    <row r="41" spans="1:8" x14ac:dyDescent="0.2">
      <c r="A41" s="18"/>
      <c r="B41" s="30"/>
      <c r="C41" s="34"/>
      <c r="D41" s="38"/>
      <c r="E41" s="38"/>
      <c r="F41" s="37"/>
      <c r="G41" s="63"/>
      <c r="H41" s="53"/>
    </row>
    <row r="42" spans="1:8" x14ac:dyDescent="0.2">
      <c r="A42" s="18"/>
      <c r="B42" s="17" t="str">
        <f>Worksheet!Q41</f>
        <v>Total Expenses</v>
      </c>
      <c r="C42" s="51">
        <f>Worksheet!R41</f>
        <v>440000</v>
      </c>
      <c r="D42" s="52">
        <f>Worksheet!S41</f>
        <v>461480.39333976834</v>
      </c>
      <c r="E42" s="52">
        <f>Worksheet!T41</f>
        <v>473340.12812851521</v>
      </c>
      <c r="F42" s="51">
        <f>Worksheet!U41</f>
        <v>509108.92324654723</v>
      </c>
      <c r="G42" s="51">
        <f>Worksheet!V41</f>
        <v>481309.81490494357</v>
      </c>
      <c r="H42" s="53"/>
    </row>
    <row r="43" spans="1:8" x14ac:dyDescent="0.2">
      <c r="A43" s="18"/>
      <c r="B43" s="40"/>
      <c r="C43" s="32"/>
      <c r="D43" s="31"/>
      <c r="E43" s="31"/>
      <c r="F43" s="32"/>
      <c r="G43" s="63"/>
      <c r="H43" s="53"/>
    </row>
    <row r="44" spans="1:8" x14ac:dyDescent="0.2">
      <c r="A44" s="18"/>
      <c r="B44" s="146" t="str">
        <f>Worksheet!Q43</f>
        <v>Operating Surplus</v>
      </c>
      <c r="C44" s="51">
        <f>Worksheet!R43</f>
        <v>60000</v>
      </c>
      <c r="D44" s="52">
        <f>Worksheet!S43</f>
        <v>80604.54874517367</v>
      </c>
      <c r="E44" s="52">
        <f>Worksheet!T43</f>
        <v>90428.211639824556</v>
      </c>
      <c r="F44" s="51">
        <f>Worksheet!U43</f>
        <v>82385.728313678061</v>
      </c>
      <c r="G44" s="51">
        <f>Worksheet!V43</f>
        <v>84472.829566225424</v>
      </c>
      <c r="H44" s="53"/>
    </row>
    <row r="45" spans="1:8" x14ac:dyDescent="0.2">
      <c r="A45" s="18"/>
      <c r="B45" s="33" t="str">
        <f>Worksheet!Q44</f>
        <v>Operating Surplus %</v>
      </c>
      <c r="C45" s="37">
        <f>Worksheet!R44</f>
        <v>0.12</v>
      </c>
      <c r="D45" s="37">
        <f>Worksheet!S44</f>
        <v>0.14869357638888878</v>
      </c>
      <c r="E45" s="37">
        <f>Worksheet!T44</f>
        <v>0.16039959192632697</v>
      </c>
      <c r="F45" s="37">
        <f>Worksheet!U44</f>
        <v>0.13928397847108789</v>
      </c>
      <c r="G45" s="37">
        <f>Worksheet!V44</f>
        <v>0.14930261716525656</v>
      </c>
      <c r="H45" s="53"/>
    </row>
    <row r="46" spans="1:8" x14ac:dyDescent="0.2">
      <c r="A46" s="18"/>
      <c r="B46" s="149"/>
      <c r="C46" s="37"/>
      <c r="D46" s="37"/>
      <c r="E46" s="37"/>
      <c r="F46" s="37"/>
      <c r="G46" s="37"/>
      <c r="H46" s="59"/>
    </row>
    <row r="47" spans="1:8" x14ac:dyDescent="0.2">
      <c r="A47" s="18"/>
      <c r="B47" s="298" t="str">
        <f>Worksheet!Q46</f>
        <v>LESS</v>
      </c>
      <c r="C47" s="37"/>
      <c r="D47" s="37"/>
      <c r="E47" s="37"/>
      <c r="F47" s="37"/>
      <c r="G47" s="37"/>
      <c r="H47" s="60"/>
    </row>
    <row r="48" spans="1:8" x14ac:dyDescent="0.2">
      <c r="A48" s="18"/>
      <c r="B48" s="150" t="str">
        <f>Worksheet!Q47</f>
        <v>Depreciation Allowance</v>
      </c>
      <c r="C48" s="286">
        <f>Worksheet!R47</f>
        <v>12500</v>
      </c>
      <c r="D48" s="286">
        <f>Worksheet!S47</f>
        <v>12763.030888030888</v>
      </c>
      <c r="E48" s="286">
        <f>Worksheet!T47</f>
        <v>12898.552123552123</v>
      </c>
      <c r="F48" s="286">
        <f>Worksheet!U47</f>
        <v>13071.841572251407</v>
      </c>
      <c r="G48" s="301">
        <f>Worksheet!V47</f>
        <v>12911.141527944807</v>
      </c>
      <c r="H48" s="22"/>
    </row>
    <row r="49" spans="1:8" x14ac:dyDescent="0.2">
      <c r="A49" s="18"/>
      <c r="B49" s="149"/>
      <c r="C49" s="285"/>
      <c r="D49" s="285"/>
      <c r="E49" s="285"/>
      <c r="F49" s="285"/>
      <c r="G49" s="284"/>
      <c r="H49" s="152"/>
    </row>
    <row r="50" spans="1:8" x14ac:dyDescent="0.2">
      <c r="A50" s="18"/>
      <c r="B50" s="150" t="str">
        <f>Worksheet!Q49</f>
        <v>Business Return</v>
      </c>
      <c r="C50" s="289">
        <f>Worksheet!R49</f>
        <v>47500</v>
      </c>
      <c r="D50" s="289">
        <f>Worksheet!S49</f>
        <v>67841.517857142782</v>
      </c>
      <c r="E50" s="289">
        <f>Worksheet!T49</f>
        <v>77529.659516272426</v>
      </c>
      <c r="F50" s="289">
        <f>Worksheet!U49</f>
        <v>69313.886741426657</v>
      </c>
      <c r="G50" s="302">
        <f>Worksheet!V49</f>
        <v>71561.688038280627</v>
      </c>
      <c r="H50" s="152"/>
    </row>
    <row r="51" spans="1:8" x14ac:dyDescent="0.2">
      <c r="A51" s="18"/>
      <c r="B51" s="149" t="str">
        <f>Worksheet!Q50</f>
        <v>Business Return %</v>
      </c>
      <c r="C51" s="296">
        <f>Worksheet!R50</f>
        <v>9.5000000000000001E-2</v>
      </c>
      <c r="D51" s="296">
        <f>Worksheet!S50</f>
        <v>0.12514923878205117</v>
      </c>
      <c r="E51" s="296">
        <f>Worksheet!T50</f>
        <v>0.13752042115052157</v>
      </c>
      <c r="F51" s="296">
        <f>Worksheet!U50</f>
        <v>0.1171843000753984</v>
      </c>
      <c r="G51" s="297">
        <f>Worksheet!V50</f>
        <v>0.12648264971996193</v>
      </c>
      <c r="H51" s="152"/>
    </row>
    <row r="52" spans="1:8" x14ac:dyDescent="0.2">
      <c r="A52" s="18"/>
      <c r="B52" s="287"/>
      <c r="C52" s="38"/>
      <c r="D52" s="37"/>
      <c r="E52" s="37"/>
      <c r="F52" s="37"/>
      <c r="G52" s="63"/>
      <c r="H52" s="152"/>
    </row>
    <row r="53" spans="1:8" x14ac:dyDescent="0.2">
      <c r="A53" s="18"/>
      <c r="B53" s="547"/>
      <c r="C53" s="547"/>
      <c r="D53" s="547"/>
      <c r="E53" s="547"/>
      <c r="F53" s="547"/>
      <c r="G53" s="547"/>
      <c r="H53" s="153"/>
    </row>
    <row r="54" spans="1:8" ht="18" x14ac:dyDescent="0.2">
      <c r="A54" s="18"/>
      <c r="B54" s="548"/>
      <c r="C54" s="548"/>
      <c r="D54" s="548"/>
      <c r="E54" s="548"/>
      <c r="F54" s="548"/>
      <c r="G54" s="548"/>
      <c r="H54" s="153"/>
    </row>
    <row r="55" spans="1:8" ht="18" x14ac:dyDescent="0.2">
      <c r="A55" s="18"/>
      <c r="B55" s="548"/>
      <c r="C55" s="548"/>
      <c r="D55" s="548"/>
      <c r="E55" s="548"/>
      <c r="F55" s="548"/>
      <c r="G55" s="548"/>
      <c r="H55" s="153"/>
    </row>
    <row r="56" spans="1:8" ht="18" x14ac:dyDescent="0.2">
      <c r="A56" s="3"/>
      <c r="B56" s="524"/>
      <c r="C56" s="524"/>
      <c r="D56" s="524"/>
      <c r="E56" s="524"/>
      <c r="F56" s="524"/>
      <c r="G56" s="524"/>
      <c r="H56" s="153"/>
    </row>
    <row r="57" spans="1:8" ht="18" x14ac:dyDescent="0.2">
      <c r="A57" s="3"/>
      <c r="B57" s="525"/>
      <c r="C57" s="525"/>
      <c r="D57" s="525"/>
      <c r="E57" s="525"/>
      <c r="F57" s="525"/>
      <c r="G57" s="525"/>
      <c r="H57" s="153"/>
    </row>
    <row r="58" spans="1:8" ht="18" x14ac:dyDescent="0.2">
      <c r="A58" s="2"/>
      <c r="B58" s="526"/>
      <c r="C58" s="526"/>
      <c r="D58" s="526"/>
      <c r="E58" s="526"/>
      <c r="F58" s="526"/>
      <c r="G58" s="526"/>
      <c r="H58" s="2"/>
    </row>
    <row r="59" spans="1:8" ht="18" x14ac:dyDescent="0.2">
      <c r="A59" s="2"/>
      <c r="B59" s="520"/>
      <c r="C59" s="520"/>
      <c r="D59" s="520"/>
      <c r="E59" s="520"/>
      <c r="F59" s="520"/>
      <c r="G59" s="520"/>
      <c r="H59" s="2"/>
    </row>
    <row r="60" spans="1:8" ht="18" x14ac:dyDescent="0.2">
      <c r="A60" s="2"/>
      <c r="B60" s="521"/>
      <c r="C60" s="521"/>
      <c r="D60" s="521"/>
      <c r="E60" s="521"/>
      <c r="F60" s="521"/>
      <c r="G60" s="521"/>
      <c r="H60" s="2"/>
    </row>
    <row r="61" spans="1:8" ht="18" x14ac:dyDescent="0.2">
      <c r="A61" s="2"/>
      <c r="B61" s="475"/>
      <c r="C61" s="475"/>
      <c r="D61" s="475"/>
      <c r="E61" s="475"/>
      <c r="F61" s="475"/>
      <c r="G61" s="475"/>
      <c r="H61" s="2"/>
    </row>
    <row r="62" spans="1:8" x14ac:dyDescent="0.2">
      <c r="A62" s="2"/>
      <c r="B62" s="522"/>
      <c r="C62" s="522"/>
      <c r="D62" s="522"/>
      <c r="E62" s="522"/>
      <c r="F62" s="522"/>
      <c r="G62" s="522"/>
      <c r="H62" s="2"/>
    </row>
    <row r="63" spans="1:8" x14ac:dyDescent="0.2">
      <c r="A63" s="2"/>
      <c r="B63" s="2"/>
      <c r="C63" s="2"/>
      <c r="D63" s="2"/>
      <c r="E63" s="2"/>
      <c r="F63" s="2"/>
      <c r="G63" s="2"/>
      <c r="H63" s="2"/>
    </row>
  </sheetData>
  <sheetProtection algorithmName="SHA-512" hashValue="15OwMhcH1vjaPJJF/C/dPlPOGg1iRuDZrwuU8gh7CXT7sPDp7bOwEVflF+OPakRTa5z8m/4pq4eMoRWMJs53wQ==" saltValue="FGZy/0qMGQkX6MO5jNY/jQ==" spinCount="100000" sheet="1" objects="1" scenarios="1" formatCells="0" formatColumns="0" formatRows="0"/>
  <mergeCells count="11">
    <mergeCell ref="B2:G2"/>
    <mergeCell ref="B53:G53"/>
    <mergeCell ref="B54:G54"/>
    <mergeCell ref="B56:G56"/>
    <mergeCell ref="B55:G55"/>
    <mergeCell ref="B61:G61"/>
    <mergeCell ref="B62:G62"/>
    <mergeCell ref="B57:G57"/>
    <mergeCell ref="B58:G58"/>
    <mergeCell ref="B59:G59"/>
    <mergeCell ref="B60:G60"/>
  </mergeCells>
  <phoneticPr fontId="0" type="noConversion"/>
  <printOptions horizontalCentered="1" verticalCentered="1"/>
  <pageMargins left="0.74803149606299213" right="0.74803149606299213" top="0.98425196850393704" bottom="0.98425196850393704" header="0.51181102362204722" footer="0.51181102362204722"/>
  <pageSetup paperSize="9" scale="77" orientation="portrait" horizontalDpi="360" verticalDpi="0" copies="0"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A1:S71"/>
  <sheetViews>
    <sheetView showGridLines="0" zoomScaleNormal="100" workbookViewId="0"/>
  </sheetViews>
  <sheetFormatPr defaultRowHeight="12.75" x14ac:dyDescent="0.2"/>
  <cols>
    <col min="1" max="1" width="2.28515625" customWidth="1"/>
    <col min="2" max="2" width="24.7109375" customWidth="1"/>
    <col min="3" max="17" width="12.7109375" customWidth="1"/>
    <col min="18" max="18" width="4.28515625" customWidth="1"/>
  </cols>
  <sheetData>
    <row r="1" spans="1:19" ht="3.75" customHeight="1" x14ac:dyDescent="0.2">
      <c r="A1" s="2"/>
      <c r="B1" s="2"/>
      <c r="C1" s="2"/>
      <c r="D1" s="2"/>
      <c r="E1" s="2"/>
      <c r="F1" s="2"/>
      <c r="G1" s="2"/>
      <c r="H1" s="2"/>
      <c r="I1" s="2"/>
      <c r="J1" s="2"/>
      <c r="K1" s="2"/>
      <c r="L1" s="2"/>
      <c r="M1" s="2"/>
      <c r="N1" s="2"/>
      <c r="O1" s="2"/>
      <c r="P1" s="2"/>
      <c r="Q1" s="2"/>
      <c r="R1" s="2"/>
      <c r="S1" s="2"/>
    </row>
    <row r="2" spans="1:19" ht="18" x14ac:dyDescent="0.25">
      <c r="A2" s="3"/>
      <c r="B2" s="531" t="s">
        <v>67</v>
      </c>
      <c r="C2" s="532"/>
      <c r="D2" s="532"/>
      <c r="E2" s="532"/>
      <c r="F2" s="532"/>
      <c r="G2" s="532"/>
      <c r="H2" s="532"/>
      <c r="I2" s="532"/>
      <c r="J2" s="532"/>
      <c r="K2" s="532"/>
      <c r="L2" s="532"/>
      <c r="M2" s="532"/>
      <c r="N2" s="532"/>
      <c r="O2" s="532"/>
      <c r="P2" s="532"/>
      <c r="Q2" s="532"/>
      <c r="R2" s="3"/>
      <c r="S2" s="2"/>
    </row>
    <row r="3" spans="1:19" x14ac:dyDescent="0.2">
      <c r="A3" s="18"/>
      <c r="B3" s="404" t="s">
        <v>67</v>
      </c>
      <c r="C3" s="214"/>
      <c r="D3" s="330">
        <f>+D$7/$P$7*D$9/(1/12)</f>
        <v>1.0000000000000002E-2</v>
      </c>
      <c r="E3" s="330">
        <f t="shared" ref="E3:O3" si="0">+E$7/$P$7*E$9/(1/12)</f>
        <v>2.769230769230769E-2</v>
      </c>
      <c r="F3" s="330">
        <f t="shared" si="0"/>
        <v>4.8461538461538466E-2</v>
      </c>
      <c r="G3" s="330">
        <f t="shared" si="0"/>
        <v>4.492307692307692E-2</v>
      </c>
      <c r="H3" s="330">
        <f t="shared" si="0"/>
        <v>7.0769230769230765E-2</v>
      </c>
      <c r="I3" s="330">
        <f t="shared" si="0"/>
        <v>7.6615384615384627E-2</v>
      </c>
      <c r="J3" s="330">
        <f t="shared" si="0"/>
        <v>9.6923076923076931E-2</v>
      </c>
      <c r="K3" s="330">
        <f t="shared" si="0"/>
        <v>0.10953846153846153</v>
      </c>
      <c r="L3" s="330">
        <f t="shared" si="0"/>
        <v>0.11769230769230771</v>
      </c>
      <c r="M3" s="330">
        <f t="shared" si="0"/>
        <v>0.13076923076923078</v>
      </c>
      <c r="N3" s="330">
        <f t="shared" si="0"/>
        <v>0.13369230769230769</v>
      </c>
      <c r="O3" s="330">
        <f t="shared" si="0"/>
        <v>0.11815384615384647</v>
      </c>
      <c r="P3" s="330">
        <f>SUM(D3:O3)</f>
        <v>0.98523076923076958</v>
      </c>
      <c r="Q3" s="349"/>
      <c r="R3" s="23"/>
      <c r="S3" s="2"/>
    </row>
    <row r="4" spans="1:19" x14ac:dyDescent="0.2">
      <c r="A4" s="18"/>
      <c r="B4" s="143" t="str">
        <f>Worksheet!B3</f>
        <v>Acme Widgets</v>
      </c>
      <c r="C4" s="214"/>
      <c r="D4" s="214"/>
      <c r="E4" s="214"/>
      <c r="F4" s="214"/>
      <c r="G4" s="214"/>
      <c r="H4" s="214"/>
      <c r="I4" s="214"/>
      <c r="J4" s="214"/>
      <c r="K4" s="214"/>
      <c r="L4" s="214"/>
      <c r="M4" s="214"/>
      <c r="N4" s="214"/>
      <c r="O4" s="214"/>
      <c r="P4" s="214"/>
      <c r="Q4" s="334"/>
      <c r="R4" s="23"/>
      <c r="S4" s="2"/>
    </row>
    <row r="5" spans="1:19" x14ac:dyDescent="0.2">
      <c r="A5" s="18"/>
      <c r="B5" s="333" t="str">
        <f>+Worksheet!B4</f>
        <v>Expected</v>
      </c>
      <c r="C5" s="552" t="str">
        <f>Worksheet!C4</f>
        <v>Current Year</v>
      </c>
      <c r="D5" s="550" t="s">
        <v>78</v>
      </c>
      <c r="E5" s="550"/>
      <c r="F5" s="550"/>
      <c r="G5" s="550"/>
      <c r="H5" s="550"/>
      <c r="I5" s="550"/>
      <c r="J5" s="550"/>
      <c r="K5" s="550"/>
      <c r="L5" s="550"/>
      <c r="M5" s="550"/>
      <c r="N5" s="550"/>
      <c r="O5" s="550"/>
      <c r="P5" s="551"/>
      <c r="Q5" s="335"/>
      <c r="R5" s="23"/>
      <c r="S5" s="2"/>
    </row>
    <row r="6" spans="1:19" ht="25.5" x14ac:dyDescent="0.2">
      <c r="A6" s="18"/>
      <c r="B6" s="398" t="s">
        <v>46</v>
      </c>
      <c r="C6" s="553"/>
      <c r="D6" s="343">
        <v>44743</v>
      </c>
      <c r="E6" s="303">
        <f>+D6+31</f>
        <v>44774</v>
      </c>
      <c r="F6" s="303">
        <f t="shared" ref="F6:O6" si="1">+E6+31</f>
        <v>44805</v>
      </c>
      <c r="G6" s="303">
        <f t="shared" si="1"/>
        <v>44836</v>
      </c>
      <c r="H6" s="303">
        <f t="shared" si="1"/>
        <v>44867</v>
      </c>
      <c r="I6" s="303">
        <f t="shared" si="1"/>
        <v>44898</v>
      </c>
      <c r="J6" s="303">
        <f t="shared" si="1"/>
        <v>44929</v>
      </c>
      <c r="K6" s="303">
        <f t="shared" si="1"/>
        <v>44960</v>
      </c>
      <c r="L6" s="303">
        <f t="shared" si="1"/>
        <v>44991</v>
      </c>
      <c r="M6" s="303">
        <f t="shared" si="1"/>
        <v>45022</v>
      </c>
      <c r="N6" s="303">
        <f t="shared" si="1"/>
        <v>45053</v>
      </c>
      <c r="O6" s="303">
        <f t="shared" si="1"/>
        <v>45084</v>
      </c>
      <c r="P6" s="220" t="s">
        <v>74</v>
      </c>
      <c r="Q6" s="43" t="s">
        <v>77</v>
      </c>
      <c r="R6" s="3"/>
      <c r="S6" s="2"/>
    </row>
    <row r="7" spans="1:19" x14ac:dyDescent="0.2">
      <c r="A7" s="18"/>
      <c r="B7" s="281"/>
      <c r="C7" s="316"/>
      <c r="D7" s="331">
        <v>1</v>
      </c>
      <c r="E7" s="331">
        <v>2</v>
      </c>
      <c r="F7" s="331">
        <v>3</v>
      </c>
      <c r="G7" s="331">
        <v>4</v>
      </c>
      <c r="H7" s="331">
        <v>5</v>
      </c>
      <c r="I7" s="331">
        <v>6</v>
      </c>
      <c r="J7" s="331">
        <v>7</v>
      </c>
      <c r="K7" s="331">
        <v>8</v>
      </c>
      <c r="L7" s="331">
        <v>9</v>
      </c>
      <c r="M7" s="331">
        <v>10</v>
      </c>
      <c r="N7" s="331">
        <v>11</v>
      </c>
      <c r="O7" s="331">
        <v>12</v>
      </c>
      <c r="P7" s="332">
        <f>SUM(D7:O7)</f>
        <v>78</v>
      </c>
      <c r="Q7" s="313"/>
      <c r="R7" s="3"/>
      <c r="S7" s="2"/>
    </row>
    <row r="8" spans="1:19" x14ac:dyDescent="0.2">
      <c r="A8" s="18"/>
      <c r="B8" s="143" t="s">
        <v>76</v>
      </c>
      <c r="C8" s="317">
        <f>Worksheet!C5</f>
        <v>500000</v>
      </c>
      <c r="D8" s="271">
        <f>+$C8*D9</f>
        <v>32500</v>
      </c>
      <c r="E8" s="273">
        <f t="shared" ref="E8:O8" si="2">+$C8*E9</f>
        <v>45000</v>
      </c>
      <c r="F8" s="273">
        <f t="shared" si="2"/>
        <v>52500</v>
      </c>
      <c r="G8" s="50">
        <f t="shared" si="2"/>
        <v>36500</v>
      </c>
      <c r="H8" s="271">
        <f t="shared" si="2"/>
        <v>46000</v>
      </c>
      <c r="I8" s="273">
        <f t="shared" si="2"/>
        <v>41500</v>
      </c>
      <c r="J8" s="273">
        <f t="shared" si="2"/>
        <v>45000</v>
      </c>
      <c r="K8" s="273">
        <f t="shared" si="2"/>
        <v>44500</v>
      </c>
      <c r="L8" s="273">
        <f t="shared" si="2"/>
        <v>42500</v>
      </c>
      <c r="M8" s="273">
        <f t="shared" si="2"/>
        <v>42500</v>
      </c>
      <c r="N8" s="273">
        <f t="shared" si="2"/>
        <v>39500</v>
      </c>
      <c r="O8" s="273">
        <f t="shared" si="2"/>
        <v>32000.000000000084</v>
      </c>
      <c r="P8" s="336">
        <f>+C8</f>
        <v>500000</v>
      </c>
      <c r="Q8" s="337"/>
      <c r="R8" s="53"/>
      <c r="S8" s="2"/>
    </row>
    <row r="9" spans="1:19" x14ac:dyDescent="0.2">
      <c r="A9" s="18"/>
      <c r="B9" s="399" t="s">
        <v>70</v>
      </c>
      <c r="C9" s="338"/>
      <c r="D9" s="344">
        <v>6.5000000000000002E-2</v>
      </c>
      <c r="E9" s="345">
        <v>0.09</v>
      </c>
      <c r="F9" s="345">
        <v>0.105</v>
      </c>
      <c r="G9" s="345">
        <v>7.2999999999999995E-2</v>
      </c>
      <c r="H9" s="345">
        <v>9.1999999999999998E-2</v>
      </c>
      <c r="I9" s="345">
        <v>8.3000000000000004E-2</v>
      </c>
      <c r="J9" s="345">
        <v>0.09</v>
      </c>
      <c r="K9" s="345">
        <v>8.8999999999999996E-2</v>
      </c>
      <c r="L9" s="345">
        <v>8.5000000000000006E-2</v>
      </c>
      <c r="M9" s="345">
        <v>8.5000000000000006E-2</v>
      </c>
      <c r="N9" s="345">
        <v>7.9000000000000001E-2</v>
      </c>
      <c r="O9" s="311">
        <f>+P9-SUM(D9:N9)</f>
        <v>6.4000000000000168E-2</v>
      </c>
      <c r="P9" s="308">
        <v>1</v>
      </c>
      <c r="Q9" s="309"/>
      <c r="R9" s="53"/>
      <c r="S9" s="2"/>
    </row>
    <row r="10" spans="1:19" x14ac:dyDescent="0.2">
      <c r="A10" s="18"/>
      <c r="B10" s="150" t="s">
        <v>81</v>
      </c>
      <c r="C10" s="338"/>
      <c r="D10" s="271">
        <f>+D11*$P$10</f>
        <v>615.89237309205998</v>
      </c>
      <c r="E10" s="273">
        <f t="shared" ref="E10:O10" si="3">+E11*$P$10</f>
        <v>1705.5481101010889</v>
      </c>
      <c r="F10" s="273">
        <f t="shared" si="3"/>
        <v>2984.7091926769058</v>
      </c>
      <c r="G10" s="273">
        <f t="shared" si="3"/>
        <v>2766.7780452750994</v>
      </c>
      <c r="H10" s="273">
        <f t="shared" si="3"/>
        <v>4358.6229480361153</v>
      </c>
      <c r="I10" s="273">
        <f t="shared" si="3"/>
        <v>4718.6831046130128</v>
      </c>
      <c r="J10" s="273">
        <f t="shared" si="3"/>
        <v>5969.4183853538116</v>
      </c>
      <c r="K10" s="273">
        <f t="shared" si="3"/>
        <v>6746.3903021776396</v>
      </c>
      <c r="L10" s="273">
        <f t="shared" si="3"/>
        <v>7248.5794679296287</v>
      </c>
      <c r="M10" s="273">
        <f t="shared" si="3"/>
        <v>8053.9771865884768</v>
      </c>
      <c r="N10" s="273">
        <f t="shared" si="3"/>
        <v>8234.0072648769237</v>
      </c>
      <c r="O10" s="273">
        <f t="shared" si="3"/>
        <v>7277.0052697646661</v>
      </c>
      <c r="P10" s="280">
        <f>+P12-P8</f>
        <v>60679.611650485429</v>
      </c>
      <c r="Q10" s="197"/>
      <c r="R10" s="53"/>
      <c r="S10" s="2"/>
    </row>
    <row r="11" spans="1:19" x14ac:dyDescent="0.2">
      <c r="A11" s="18"/>
      <c r="B11" s="314"/>
      <c r="C11" s="339"/>
      <c r="D11" s="190">
        <f>+D3/$P$3</f>
        <v>1.0149906308557151E-2</v>
      </c>
      <c r="E11" s="310">
        <f t="shared" ref="E11:O11" si="4">+E3/$P$3</f>
        <v>2.8107432854465948E-2</v>
      </c>
      <c r="F11" s="310">
        <f t="shared" si="4"/>
        <v>4.9188007495315413E-2</v>
      </c>
      <c r="G11" s="310">
        <f t="shared" si="4"/>
        <v>4.5596502186133647E-2</v>
      </c>
      <c r="H11" s="310">
        <f t="shared" si="4"/>
        <v>7.1830106183635195E-2</v>
      </c>
      <c r="I11" s="310">
        <f t="shared" si="4"/>
        <v>7.7763897564022466E-2</v>
      </c>
      <c r="J11" s="310">
        <f t="shared" si="4"/>
        <v>9.8376014990630825E-2</v>
      </c>
      <c r="K11" s="310">
        <f t="shared" si="4"/>
        <v>0.11118051217988752</v>
      </c>
      <c r="L11" s="310">
        <f t="shared" si="4"/>
        <v>0.1194565896314803</v>
      </c>
      <c r="M11" s="310">
        <f t="shared" si="4"/>
        <v>0.13272954403497811</v>
      </c>
      <c r="N11" s="310">
        <f t="shared" si="4"/>
        <v>0.13569643972517173</v>
      </c>
      <c r="O11" s="310">
        <f t="shared" si="4"/>
        <v>0.11992504684572171</v>
      </c>
      <c r="P11" s="310">
        <f>SUM(D11:O11)</f>
        <v>1</v>
      </c>
      <c r="Q11" s="204"/>
      <c r="R11" s="53"/>
      <c r="S11" s="2"/>
    </row>
    <row r="12" spans="1:19" x14ac:dyDescent="0.2">
      <c r="A12" s="18"/>
      <c r="B12" s="150" t="s">
        <v>82</v>
      </c>
      <c r="C12" s="340">
        <f>+C8</f>
        <v>500000</v>
      </c>
      <c r="D12" s="279">
        <f>+D8+D10</f>
        <v>33115.892373092058</v>
      </c>
      <c r="E12" s="274">
        <f t="shared" ref="E12:O12" si="5">+E8+E10</f>
        <v>46705.548110101088</v>
      </c>
      <c r="F12" s="274">
        <f t="shared" si="5"/>
        <v>55484.709192676906</v>
      </c>
      <c r="G12" s="274">
        <f t="shared" si="5"/>
        <v>39266.778045275103</v>
      </c>
      <c r="H12" s="274">
        <f t="shared" si="5"/>
        <v>50358.622948036114</v>
      </c>
      <c r="I12" s="274">
        <f t="shared" si="5"/>
        <v>46218.68310461301</v>
      </c>
      <c r="J12" s="274">
        <f t="shared" si="5"/>
        <v>50969.418385353812</v>
      </c>
      <c r="K12" s="274">
        <f t="shared" si="5"/>
        <v>51246.390302177642</v>
      </c>
      <c r="L12" s="274">
        <f t="shared" si="5"/>
        <v>49748.57946792963</v>
      </c>
      <c r="M12" s="274">
        <f t="shared" si="5"/>
        <v>50553.977186588476</v>
      </c>
      <c r="N12" s="274">
        <f t="shared" si="5"/>
        <v>47734.007264876927</v>
      </c>
      <c r="O12" s="274">
        <f t="shared" si="5"/>
        <v>39277.005269764748</v>
      </c>
      <c r="P12" s="274">
        <f>Worksheet!$D5</f>
        <v>560679.61165048543</v>
      </c>
      <c r="Q12" s="212">
        <f>+P12-C12</f>
        <v>60679.611650485429</v>
      </c>
      <c r="R12" s="53"/>
      <c r="S12" s="2"/>
    </row>
    <row r="13" spans="1:19" x14ac:dyDescent="0.2">
      <c r="A13" s="18"/>
      <c r="B13" s="150"/>
      <c r="C13" s="341"/>
      <c r="D13" s="190">
        <f>+D12/$P12</f>
        <v>5.9063842674086271E-2</v>
      </c>
      <c r="E13" s="310">
        <f t="shared" ref="E13:P13" si="6">+E12/$P12</f>
        <v>8.3301670222344804E-2</v>
      </c>
      <c r="F13" s="310">
        <f t="shared" si="6"/>
        <v>9.8959741070921578E-2</v>
      </c>
      <c r="G13" s="310">
        <f t="shared" si="6"/>
        <v>7.0034253483347797E-2</v>
      </c>
      <c r="H13" s="310">
        <f t="shared" si="6"/>
        <v>8.981711105883497E-2</v>
      </c>
      <c r="I13" s="310">
        <f t="shared" si="6"/>
        <v>8.2433322247188578E-2</v>
      </c>
      <c r="J13" s="310">
        <f t="shared" si="6"/>
        <v>9.0906495128856152E-2</v>
      </c>
      <c r="K13" s="310">
        <f t="shared" si="6"/>
        <v>9.140048833115666E-2</v>
      </c>
      <c r="L13" s="310">
        <f t="shared" si="6"/>
        <v>8.8729068141935097E-2</v>
      </c>
      <c r="M13" s="310">
        <f t="shared" si="6"/>
        <v>9.0165535068720576E-2</v>
      </c>
      <c r="N13" s="310">
        <f t="shared" si="6"/>
        <v>8.5135978325235034E-2</v>
      </c>
      <c r="O13" s="310">
        <f t="shared" si="6"/>
        <v>7.0052494247372629E-2</v>
      </c>
      <c r="P13" s="310">
        <f t="shared" si="6"/>
        <v>1</v>
      </c>
      <c r="Q13" s="204">
        <f>+Q12/C12</f>
        <v>0.12135922330097086</v>
      </c>
      <c r="R13" s="53"/>
      <c r="S13" s="2"/>
    </row>
    <row r="14" spans="1:19" x14ac:dyDescent="0.2">
      <c r="A14" s="18"/>
      <c r="B14" s="304"/>
      <c r="C14" s="342"/>
      <c r="D14" s="270"/>
      <c r="E14" s="267"/>
      <c r="F14" s="267"/>
      <c r="G14" s="267"/>
      <c r="H14" s="267"/>
      <c r="I14" s="267"/>
      <c r="J14" s="267"/>
      <c r="K14" s="267"/>
      <c r="L14" s="267"/>
      <c r="M14" s="267"/>
      <c r="N14" s="267"/>
      <c r="O14" s="267"/>
      <c r="P14" s="267"/>
      <c r="Q14" s="197"/>
      <c r="R14" s="53"/>
      <c r="S14" s="2"/>
    </row>
    <row r="15" spans="1:19" x14ac:dyDescent="0.2">
      <c r="A15" s="18"/>
      <c r="B15" s="143" t="str">
        <f>Worksheet!B6</f>
        <v>Expenses</v>
      </c>
      <c r="C15" s="318"/>
      <c r="D15" s="305"/>
      <c r="E15" s="25"/>
      <c r="F15" s="25"/>
      <c r="G15" s="25"/>
      <c r="H15" s="25"/>
      <c r="I15" s="25"/>
      <c r="J15" s="25"/>
      <c r="K15" s="25"/>
      <c r="L15" s="25"/>
      <c r="M15" s="25"/>
      <c r="N15" s="25"/>
      <c r="O15" s="25"/>
      <c r="P15" s="25"/>
      <c r="Q15" s="24"/>
      <c r="R15" s="53"/>
      <c r="S15" s="2"/>
    </row>
    <row r="16" spans="1:19" x14ac:dyDescent="0.2">
      <c r="A16" s="18"/>
      <c r="B16" s="143" t="str">
        <f>Worksheet!B7</f>
        <v>Variable Costs</v>
      </c>
      <c r="C16" s="319"/>
      <c r="D16" s="54"/>
      <c r="E16" s="29"/>
      <c r="F16" s="29"/>
      <c r="G16" s="29"/>
      <c r="H16" s="29"/>
      <c r="I16" s="29"/>
      <c r="J16" s="29"/>
      <c r="K16" s="29"/>
      <c r="L16" s="29"/>
      <c r="M16" s="29"/>
      <c r="N16" s="29"/>
      <c r="O16" s="29"/>
      <c r="P16" s="29"/>
      <c r="Q16" s="28"/>
      <c r="R16" s="53"/>
      <c r="S16" s="2"/>
    </row>
    <row r="17" spans="1:19" x14ac:dyDescent="0.2">
      <c r="A17" s="18"/>
      <c r="B17" s="144" t="str">
        <f>Worksheet!B8</f>
        <v>Materials &amp; Supplies</v>
      </c>
      <c r="C17" s="320">
        <f>Worksheet!C8</f>
        <v>10000</v>
      </c>
      <c r="D17" s="49">
        <f>+D$13*$P17</f>
        <v>675.17838818925566</v>
      </c>
      <c r="E17" s="49">
        <f t="shared" ref="E17:O17" si="7">+E$13*$P17</f>
        <v>952.24903913798357</v>
      </c>
      <c r="F17" s="49">
        <f t="shared" si="7"/>
        <v>1131.2416437341894</v>
      </c>
      <c r="G17" s="49">
        <f t="shared" si="7"/>
        <v>800.58479509784195</v>
      </c>
      <c r="H17" s="49">
        <f t="shared" si="7"/>
        <v>1026.7292057366587</v>
      </c>
      <c r="I17" s="49">
        <f t="shared" si="7"/>
        <v>942.32266523968292</v>
      </c>
      <c r="J17" s="49">
        <f t="shared" si="7"/>
        <v>1039.1823165945925</v>
      </c>
      <c r="K17" s="49">
        <f t="shared" si="7"/>
        <v>1044.8293168405153</v>
      </c>
      <c r="L17" s="49">
        <f t="shared" si="7"/>
        <v>1014.2914260451673</v>
      </c>
      <c r="M17" s="49">
        <f t="shared" si="7"/>
        <v>1030.7121562314157</v>
      </c>
      <c r="N17" s="49">
        <f t="shared" si="7"/>
        <v>973.21762384700537</v>
      </c>
      <c r="O17" s="271">
        <f t="shared" si="7"/>
        <v>800.79331132530081</v>
      </c>
      <c r="P17" s="280">
        <f>Worksheet!D8</f>
        <v>11431.331888019608</v>
      </c>
      <c r="Q17" s="212">
        <f>+P17-C17</f>
        <v>1431.3318880196075</v>
      </c>
      <c r="R17" s="55"/>
      <c r="S17" s="2"/>
    </row>
    <row r="18" spans="1:19" x14ac:dyDescent="0.2">
      <c r="A18" s="18"/>
      <c r="B18" s="33" t="str">
        <f>Worksheet!B9</f>
        <v>% Revenue</v>
      </c>
      <c r="C18" s="321">
        <f>Worksheet!C9</f>
        <v>0.02</v>
      </c>
      <c r="D18" s="35">
        <f>+D17/D$12</f>
        <v>2.0388349514563111E-2</v>
      </c>
      <c r="E18" s="35">
        <f t="shared" ref="E18:O18" si="8">+E17/E$12</f>
        <v>2.0388349514563111E-2</v>
      </c>
      <c r="F18" s="35">
        <f t="shared" si="8"/>
        <v>2.0388349514563107E-2</v>
      </c>
      <c r="G18" s="35">
        <f t="shared" si="8"/>
        <v>2.0388349514563107E-2</v>
      </c>
      <c r="H18" s="35">
        <f t="shared" si="8"/>
        <v>2.0388349514563107E-2</v>
      </c>
      <c r="I18" s="35">
        <f t="shared" si="8"/>
        <v>2.0388349514563111E-2</v>
      </c>
      <c r="J18" s="35">
        <f t="shared" si="8"/>
        <v>2.0388349514563111E-2</v>
      </c>
      <c r="K18" s="35">
        <f t="shared" si="8"/>
        <v>2.0388349514563111E-2</v>
      </c>
      <c r="L18" s="35">
        <f t="shared" si="8"/>
        <v>2.0388349514563107E-2</v>
      </c>
      <c r="M18" s="35">
        <f t="shared" si="8"/>
        <v>2.0388349514563111E-2</v>
      </c>
      <c r="N18" s="35">
        <f t="shared" si="8"/>
        <v>2.0388349514563107E-2</v>
      </c>
      <c r="O18" s="35">
        <f t="shared" si="8"/>
        <v>2.0388349514563111E-2</v>
      </c>
      <c r="P18" s="272">
        <f>Worksheet!D9</f>
        <v>2.0388349514563111E-2</v>
      </c>
      <c r="Q18" s="204">
        <f>+Q17/C17</f>
        <v>0.14313318880196074</v>
      </c>
      <c r="R18" s="55"/>
      <c r="S18" s="2"/>
    </row>
    <row r="19" spans="1:19" x14ac:dyDescent="0.2">
      <c r="A19" s="18"/>
      <c r="B19" s="144" t="str">
        <f>Worksheet!B10</f>
        <v>Labor excluding Owner</v>
      </c>
      <c r="C19" s="320">
        <f>Worksheet!C10</f>
        <v>200000</v>
      </c>
      <c r="D19" s="49">
        <f>+D$13*$P19</f>
        <v>13140.403630743918</v>
      </c>
      <c r="E19" s="49">
        <f t="shared" ref="E19:O19" si="9">+E$13*$P19</f>
        <v>18532.786223829386</v>
      </c>
      <c r="F19" s="49">
        <f t="shared" si="9"/>
        <v>22016.361990554029</v>
      </c>
      <c r="G19" s="49">
        <f t="shared" si="9"/>
        <v>15581.078322775418</v>
      </c>
      <c r="H19" s="49">
        <f t="shared" si="9"/>
        <v>19982.328254071785</v>
      </c>
      <c r="I19" s="49">
        <f t="shared" si="9"/>
        <v>18339.597931823824</v>
      </c>
      <c r="J19" s="49">
        <f t="shared" si="9"/>
        <v>20224.692207056873</v>
      </c>
      <c r="K19" s="49">
        <f t="shared" si="9"/>
        <v>20334.594810327897</v>
      </c>
      <c r="L19" s="49">
        <f t="shared" si="9"/>
        <v>19740.262678106319</v>
      </c>
      <c r="M19" s="49">
        <f t="shared" si="9"/>
        <v>20059.844919382624</v>
      </c>
      <c r="N19" s="49">
        <f t="shared" si="9"/>
        <v>18940.879361083</v>
      </c>
      <c r="O19" s="49">
        <f t="shared" si="9"/>
        <v>15585.136490868919</v>
      </c>
      <c r="P19" s="47">
        <f>Worksheet!D10</f>
        <v>222477.96682062396</v>
      </c>
      <c r="Q19" s="212">
        <f>+P19-C19</f>
        <v>22477.966820623958</v>
      </c>
      <c r="R19" s="55"/>
      <c r="S19" s="2"/>
    </row>
    <row r="20" spans="1:19" x14ac:dyDescent="0.2">
      <c r="A20" s="18"/>
      <c r="B20" s="33" t="str">
        <f>Worksheet!B11</f>
        <v>% Revenue</v>
      </c>
      <c r="C20" s="321">
        <f>Worksheet!C11</f>
        <v>0.4</v>
      </c>
      <c r="D20" s="35">
        <f>+D19/D$12</f>
        <v>0.39680052956751977</v>
      </c>
      <c r="E20" s="35">
        <f t="shared" ref="E20:O20" si="10">+E19/E$12</f>
        <v>0.39680052956751982</v>
      </c>
      <c r="F20" s="35">
        <f t="shared" si="10"/>
        <v>0.39680052956751977</v>
      </c>
      <c r="G20" s="35">
        <f t="shared" si="10"/>
        <v>0.39680052956751971</v>
      </c>
      <c r="H20" s="35">
        <f t="shared" si="10"/>
        <v>0.39680052956751977</v>
      </c>
      <c r="I20" s="35">
        <f t="shared" si="10"/>
        <v>0.39680052956751982</v>
      </c>
      <c r="J20" s="35">
        <f t="shared" si="10"/>
        <v>0.39680052956751982</v>
      </c>
      <c r="K20" s="35">
        <f t="shared" si="10"/>
        <v>0.39680052956751977</v>
      </c>
      <c r="L20" s="35">
        <f t="shared" si="10"/>
        <v>0.39680052956751977</v>
      </c>
      <c r="M20" s="35">
        <f t="shared" si="10"/>
        <v>0.39680052956751982</v>
      </c>
      <c r="N20" s="35">
        <f t="shared" si="10"/>
        <v>0.39680052956751977</v>
      </c>
      <c r="O20" s="35">
        <f t="shared" si="10"/>
        <v>0.39680052956751982</v>
      </c>
      <c r="P20" s="272">
        <f>Worksheet!D11</f>
        <v>0.39680052956751977</v>
      </c>
      <c r="Q20" s="204">
        <f>+Q19/C19</f>
        <v>0.1123898341031198</v>
      </c>
      <c r="R20" s="54"/>
      <c r="S20" s="2"/>
    </row>
    <row r="21" spans="1:19" x14ac:dyDescent="0.2">
      <c r="A21" s="18"/>
      <c r="B21" s="144" t="str">
        <f>Worksheet!B12</f>
        <v>Labor Owner</v>
      </c>
      <c r="C21" s="320">
        <f>Worksheet!C12</f>
        <v>50000</v>
      </c>
      <c r="D21" s="49">
        <f>+D$13*$P21</f>
        <v>2935.272278524069</v>
      </c>
      <c r="E21" s="49">
        <f t="shared" ref="E21:O21" si="11">+E$13*$P21</f>
        <v>4139.8099461225975</v>
      </c>
      <c r="F21" s="49">
        <f t="shared" si="11"/>
        <v>4917.9628602599987</v>
      </c>
      <c r="G21" s="49">
        <f t="shared" si="11"/>
        <v>3480.4644176493839</v>
      </c>
      <c r="H21" s="49">
        <f t="shared" si="11"/>
        <v>4463.6052158486555</v>
      </c>
      <c r="I21" s="49">
        <f t="shared" si="11"/>
        <v>4096.656002454336</v>
      </c>
      <c r="J21" s="49">
        <f t="shared" si="11"/>
        <v>4517.7439023381794</v>
      </c>
      <c r="K21" s="49">
        <f t="shared" si="11"/>
        <v>4542.2936858748371</v>
      </c>
      <c r="L21" s="49">
        <f t="shared" si="11"/>
        <v>4409.5331801119446</v>
      </c>
      <c r="M21" s="49">
        <f t="shared" si="11"/>
        <v>4480.9207051748881</v>
      </c>
      <c r="N21" s="49">
        <f t="shared" si="11"/>
        <v>4230.9688257504549</v>
      </c>
      <c r="O21" s="49">
        <f t="shared" si="11"/>
        <v>3481.3709216382395</v>
      </c>
      <c r="P21" s="47">
        <f>Worksheet!D12</f>
        <v>49696.601941747576</v>
      </c>
      <c r="Q21" s="212">
        <f>+P21-C21</f>
        <v>-303.39805825242365</v>
      </c>
      <c r="R21" s="55"/>
      <c r="S21" s="2"/>
    </row>
    <row r="22" spans="1:19" x14ac:dyDescent="0.2">
      <c r="A22" s="18"/>
      <c r="B22" s="33" t="str">
        <f>Worksheet!B13</f>
        <v>% Revenue</v>
      </c>
      <c r="C22" s="321">
        <f>Worksheet!C13</f>
        <v>0.1</v>
      </c>
      <c r="D22" s="35">
        <f>+D21/D$12</f>
        <v>8.8636363636363638E-2</v>
      </c>
      <c r="E22" s="35">
        <f t="shared" ref="E22:O22" si="12">+E21/E$12</f>
        <v>8.8636363636363652E-2</v>
      </c>
      <c r="F22" s="35">
        <f t="shared" si="12"/>
        <v>8.8636363636363638E-2</v>
      </c>
      <c r="G22" s="35">
        <f t="shared" si="12"/>
        <v>8.8636363636363624E-2</v>
      </c>
      <c r="H22" s="35">
        <f t="shared" si="12"/>
        <v>8.8636363636363638E-2</v>
      </c>
      <c r="I22" s="35">
        <f t="shared" si="12"/>
        <v>8.8636363636363652E-2</v>
      </c>
      <c r="J22" s="35">
        <f t="shared" si="12"/>
        <v>8.8636363636363652E-2</v>
      </c>
      <c r="K22" s="35">
        <f t="shared" si="12"/>
        <v>8.8636363636363652E-2</v>
      </c>
      <c r="L22" s="35">
        <f t="shared" si="12"/>
        <v>8.8636363636363638E-2</v>
      </c>
      <c r="M22" s="35">
        <f t="shared" si="12"/>
        <v>8.8636363636363652E-2</v>
      </c>
      <c r="N22" s="35">
        <f t="shared" si="12"/>
        <v>8.8636363636363638E-2</v>
      </c>
      <c r="O22" s="35">
        <f t="shared" si="12"/>
        <v>8.8636363636363652E-2</v>
      </c>
      <c r="P22" s="272">
        <f>Worksheet!D13</f>
        <v>8.8636363636363638E-2</v>
      </c>
      <c r="Q22" s="204">
        <f>+Q21/C21</f>
        <v>-6.0679611650484733E-3</v>
      </c>
      <c r="R22" s="54"/>
      <c r="S22" s="2"/>
    </row>
    <row r="23" spans="1:19" x14ac:dyDescent="0.2">
      <c r="A23" s="18"/>
      <c r="B23" s="144" t="str">
        <f>Worksheet!B14</f>
        <v>Distribution</v>
      </c>
      <c r="C23" s="320">
        <f>Worksheet!C14</f>
        <v>20000</v>
      </c>
      <c r="D23" s="49">
        <f>+D$13*$P23</f>
        <v>1286.0540727414391</v>
      </c>
      <c r="E23" s="49">
        <f t="shared" ref="E23:O23" si="13">+E$13*$P23</f>
        <v>1813.8076935961587</v>
      </c>
      <c r="F23" s="49">
        <f t="shared" si="13"/>
        <v>2154.7459880651222</v>
      </c>
      <c r="G23" s="49">
        <f t="shared" si="13"/>
        <v>1524.9234192339843</v>
      </c>
      <c r="H23" s="49">
        <f t="shared" si="13"/>
        <v>1955.6746775936354</v>
      </c>
      <c r="I23" s="49">
        <f t="shared" si="13"/>
        <v>1794.9003147422529</v>
      </c>
      <c r="J23" s="49">
        <f t="shared" si="13"/>
        <v>1979.3948887516044</v>
      </c>
      <c r="K23" s="49">
        <f t="shared" si="13"/>
        <v>1990.1510796962191</v>
      </c>
      <c r="L23" s="49">
        <f t="shared" si="13"/>
        <v>1931.9836686574613</v>
      </c>
      <c r="M23" s="49">
        <f t="shared" si="13"/>
        <v>1963.2612499646011</v>
      </c>
      <c r="N23" s="49">
        <f t="shared" si="13"/>
        <v>1853.7478549466766</v>
      </c>
      <c r="O23" s="49">
        <f t="shared" si="13"/>
        <v>1525.3205930005729</v>
      </c>
      <c r="P23" s="47">
        <f>Worksheet!D14</f>
        <v>21773.965500989725</v>
      </c>
      <c r="Q23" s="212">
        <f>+P23-C23</f>
        <v>1773.9655009897251</v>
      </c>
      <c r="R23" s="55"/>
      <c r="S23" s="2"/>
    </row>
    <row r="24" spans="1:19" x14ac:dyDescent="0.2">
      <c r="A24" s="18"/>
      <c r="B24" s="33" t="str">
        <f>Worksheet!B15</f>
        <v>% Revenue</v>
      </c>
      <c r="C24" s="321">
        <f>Worksheet!C15</f>
        <v>0.04</v>
      </c>
      <c r="D24" s="35">
        <f>+D23/D$12</f>
        <v>3.8834951456310676E-2</v>
      </c>
      <c r="E24" s="35">
        <f t="shared" ref="E24:O24" si="14">+E23/E$12</f>
        <v>3.8834951456310676E-2</v>
      </c>
      <c r="F24" s="35">
        <f t="shared" si="14"/>
        <v>3.8834951456310676E-2</v>
      </c>
      <c r="G24" s="35">
        <f t="shared" si="14"/>
        <v>3.8834951456310669E-2</v>
      </c>
      <c r="H24" s="35">
        <f t="shared" si="14"/>
        <v>3.8834951456310676E-2</v>
      </c>
      <c r="I24" s="35">
        <f t="shared" si="14"/>
        <v>3.8834951456310683E-2</v>
      </c>
      <c r="J24" s="35">
        <f t="shared" si="14"/>
        <v>3.8834951456310683E-2</v>
      </c>
      <c r="K24" s="35">
        <f t="shared" si="14"/>
        <v>3.8834951456310676E-2</v>
      </c>
      <c r="L24" s="35">
        <f t="shared" si="14"/>
        <v>3.8834951456310676E-2</v>
      </c>
      <c r="M24" s="35">
        <f t="shared" si="14"/>
        <v>3.8834951456310683E-2</v>
      </c>
      <c r="N24" s="35">
        <f t="shared" si="14"/>
        <v>3.8834951456310676E-2</v>
      </c>
      <c r="O24" s="35">
        <f t="shared" si="14"/>
        <v>3.8834951456310683E-2</v>
      </c>
      <c r="P24" s="272">
        <f>Worksheet!D15</f>
        <v>3.8834951456310676E-2</v>
      </c>
      <c r="Q24" s="204">
        <f>+Q23/C23</f>
        <v>8.8698275049486255E-2</v>
      </c>
      <c r="R24" s="54"/>
      <c r="S24" s="2"/>
    </row>
    <row r="25" spans="1:19" x14ac:dyDescent="0.2">
      <c r="A25" s="18"/>
      <c r="B25" s="144" t="str">
        <f>Worksheet!B16</f>
        <v>Marketing</v>
      </c>
      <c r="C25" s="320">
        <f>Worksheet!C16</f>
        <v>10000</v>
      </c>
      <c r="D25" s="49">
        <f>+D$13*$P25</f>
        <v>643.02703637071954</v>
      </c>
      <c r="E25" s="49">
        <f t="shared" ref="E25:O25" si="15">+E$13*$P25</f>
        <v>906.90384679807937</v>
      </c>
      <c r="F25" s="49">
        <f t="shared" si="15"/>
        <v>1077.3729940325611</v>
      </c>
      <c r="G25" s="49">
        <f t="shared" si="15"/>
        <v>762.46170961699215</v>
      </c>
      <c r="H25" s="49">
        <f t="shared" si="15"/>
        <v>977.83733879681768</v>
      </c>
      <c r="I25" s="49">
        <f t="shared" si="15"/>
        <v>897.45015737112647</v>
      </c>
      <c r="J25" s="49">
        <f t="shared" si="15"/>
        <v>989.69744437580221</v>
      </c>
      <c r="K25" s="49">
        <f t="shared" si="15"/>
        <v>995.07553984810954</v>
      </c>
      <c r="L25" s="49">
        <f t="shared" si="15"/>
        <v>965.99183432873065</v>
      </c>
      <c r="M25" s="49">
        <f t="shared" si="15"/>
        <v>981.63062498230056</v>
      </c>
      <c r="N25" s="49">
        <f t="shared" si="15"/>
        <v>926.87392747333831</v>
      </c>
      <c r="O25" s="49">
        <f t="shared" si="15"/>
        <v>762.66029650028645</v>
      </c>
      <c r="P25" s="47">
        <f>Worksheet!D16</f>
        <v>10886.982750494863</v>
      </c>
      <c r="Q25" s="212">
        <f>+P25-C25</f>
        <v>886.98275049486256</v>
      </c>
      <c r="R25" s="55"/>
      <c r="S25" s="2"/>
    </row>
    <row r="26" spans="1:19" x14ac:dyDescent="0.2">
      <c r="A26" s="18"/>
      <c r="B26" s="33" t="str">
        <f>Worksheet!B17</f>
        <v>% Revenue</v>
      </c>
      <c r="C26" s="321">
        <f>Worksheet!C17</f>
        <v>0.02</v>
      </c>
      <c r="D26" s="35">
        <f>+D25/D$12</f>
        <v>1.9417475728155338E-2</v>
      </c>
      <c r="E26" s="35">
        <f t="shared" ref="E26:O26" si="16">+E25/E$12</f>
        <v>1.9417475728155338E-2</v>
      </c>
      <c r="F26" s="35">
        <f t="shared" si="16"/>
        <v>1.9417475728155338E-2</v>
      </c>
      <c r="G26" s="35">
        <f t="shared" si="16"/>
        <v>1.9417475728155335E-2</v>
      </c>
      <c r="H26" s="35">
        <f t="shared" si="16"/>
        <v>1.9417475728155338E-2</v>
      </c>
      <c r="I26" s="35">
        <f t="shared" si="16"/>
        <v>1.9417475728155342E-2</v>
      </c>
      <c r="J26" s="35">
        <f t="shared" si="16"/>
        <v>1.9417475728155342E-2</v>
      </c>
      <c r="K26" s="35">
        <f t="shared" si="16"/>
        <v>1.9417475728155338E-2</v>
      </c>
      <c r="L26" s="35">
        <f t="shared" si="16"/>
        <v>1.9417475728155338E-2</v>
      </c>
      <c r="M26" s="35">
        <f t="shared" si="16"/>
        <v>1.9417475728155342E-2</v>
      </c>
      <c r="N26" s="35">
        <f t="shared" si="16"/>
        <v>1.9417475728155338E-2</v>
      </c>
      <c r="O26" s="35">
        <f t="shared" si="16"/>
        <v>1.9417475728155342E-2</v>
      </c>
      <c r="P26" s="272">
        <f>Worksheet!D17</f>
        <v>1.9417475728155338E-2</v>
      </c>
      <c r="Q26" s="204">
        <f>+Q25/C25</f>
        <v>8.8698275049486255E-2</v>
      </c>
      <c r="R26" s="54"/>
      <c r="S26" s="2"/>
    </row>
    <row r="27" spans="1:19" x14ac:dyDescent="0.2">
      <c r="A27" s="18"/>
      <c r="B27" s="144" t="str">
        <f>Worksheet!B18</f>
        <v>Other</v>
      </c>
      <c r="C27" s="320">
        <f>Worksheet!C18</f>
        <v>20000</v>
      </c>
      <c r="D27" s="49">
        <f>+D$13*$P27</f>
        <v>1286.0540727414391</v>
      </c>
      <c r="E27" s="49">
        <f t="shared" ref="E27:O27" si="17">+E$13*$P27</f>
        <v>1813.8076935961587</v>
      </c>
      <c r="F27" s="49">
        <f t="shared" si="17"/>
        <v>2154.7459880651222</v>
      </c>
      <c r="G27" s="49">
        <f t="shared" si="17"/>
        <v>1524.9234192339843</v>
      </c>
      <c r="H27" s="49">
        <f t="shared" si="17"/>
        <v>1955.6746775936354</v>
      </c>
      <c r="I27" s="49">
        <f t="shared" si="17"/>
        <v>1794.9003147422529</v>
      </c>
      <c r="J27" s="49">
        <f t="shared" si="17"/>
        <v>1979.3948887516044</v>
      </c>
      <c r="K27" s="49">
        <f t="shared" si="17"/>
        <v>1990.1510796962191</v>
      </c>
      <c r="L27" s="49">
        <f t="shared" si="17"/>
        <v>1931.9836686574613</v>
      </c>
      <c r="M27" s="49">
        <f t="shared" si="17"/>
        <v>1963.2612499646011</v>
      </c>
      <c r="N27" s="49">
        <f t="shared" si="17"/>
        <v>1853.7478549466766</v>
      </c>
      <c r="O27" s="49">
        <f t="shared" si="17"/>
        <v>1525.3205930005729</v>
      </c>
      <c r="P27" s="280">
        <f>Worksheet!D18</f>
        <v>21773.965500989725</v>
      </c>
      <c r="Q27" s="212">
        <f>+P27-C27</f>
        <v>1773.9655009897251</v>
      </c>
      <c r="R27" s="55"/>
      <c r="S27" s="2"/>
    </row>
    <row r="28" spans="1:19" x14ac:dyDescent="0.2">
      <c r="A28" s="18"/>
      <c r="B28" s="33" t="str">
        <f>Worksheet!B19</f>
        <v>% Revenue</v>
      </c>
      <c r="C28" s="321">
        <f>Worksheet!C19</f>
        <v>0.04</v>
      </c>
      <c r="D28" s="35">
        <f>+D27/D$12</f>
        <v>3.8834951456310676E-2</v>
      </c>
      <c r="E28" s="35">
        <f t="shared" ref="E28:O28" si="18">+E27/E$12</f>
        <v>3.8834951456310676E-2</v>
      </c>
      <c r="F28" s="35">
        <f t="shared" si="18"/>
        <v>3.8834951456310676E-2</v>
      </c>
      <c r="G28" s="35">
        <f t="shared" si="18"/>
        <v>3.8834951456310669E-2</v>
      </c>
      <c r="H28" s="35">
        <f t="shared" si="18"/>
        <v>3.8834951456310676E-2</v>
      </c>
      <c r="I28" s="35">
        <f t="shared" si="18"/>
        <v>3.8834951456310683E-2</v>
      </c>
      <c r="J28" s="35">
        <f t="shared" si="18"/>
        <v>3.8834951456310683E-2</v>
      </c>
      <c r="K28" s="35">
        <f t="shared" si="18"/>
        <v>3.8834951456310676E-2</v>
      </c>
      <c r="L28" s="35">
        <f t="shared" si="18"/>
        <v>3.8834951456310676E-2</v>
      </c>
      <c r="M28" s="35">
        <f t="shared" si="18"/>
        <v>3.8834951456310683E-2</v>
      </c>
      <c r="N28" s="35">
        <f t="shared" si="18"/>
        <v>3.8834951456310676E-2</v>
      </c>
      <c r="O28" s="35">
        <f t="shared" si="18"/>
        <v>3.8834951456310683E-2</v>
      </c>
      <c r="P28" s="272">
        <f>Worksheet!D19</f>
        <v>3.8834951456310676E-2</v>
      </c>
      <c r="Q28" s="204">
        <f>+Q27/C27</f>
        <v>8.8698275049486255E-2</v>
      </c>
      <c r="R28" s="54"/>
      <c r="S28" s="2"/>
    </row>
    <row r="29" spans="1:19" x14ac:dyDescent="0.2">
      <c r="A29" s="18"/>
      <c r="B29" s="144" t="str">
        <f>Worksheet!B20</f>
        <v>Total Variable Costs</v>
      </c>
      <c r="C29" s="322">
        <f>Worksheet!C20</f>
        <v>310000</v>
      </c>
      <c r="D29" s="52">
        <f>+D17+D19+D21+D23+D25+D27</f>
        <v>19965.98947931084</v>
      </c>
      <c r="E29" s="51">
        <f t="shared" ref="E29:O29" si="19">+E17+E19+E21+E23+E25+E27</f>
        <v>28159.364443080362</v>
      </c>
      <c r="F29" s="51">
        <f t="shared" si="19"/>
        <v>33452.431464711022</v>
      </c>
      <c r="G29" s="51">
        <f t="shared" si="19"/>
        <v>23674.436083607605</v>
      </c>
      <c r="H29" s="51">
        <f t="shared" si="19"/>
        <v>30361.849369641182</v>
      </c>
      <c r="I29" s="51">
        <f t="shared" si="19"/>
        <v>27865.827386373476</v>
      </c>
      <c r="J29" s="51">
        <f t="shared" si="19"/>
        <v>30730.105647868659</v>
      </c>
      <c r="K29" s="51">
        <f t="shared" si="19"/>
        <v>30897.095512283791</v>
      </c>
      <c r="L29" s="51">
        <f t="shared" si="19"/>
        <v>29994.046455907086</v>
      </c>
      <c r="M29" s="51">
        <f t="shared" si="19"/>
        <v>30479.630905700433</v>
      </c>
      <c r="N29" s="51">
        <f t="shared" si="19"/>
        <v>28779.435448047152</v>
      </c>
      <c r="O29" s="51">
        <f t="shared" si="19"/>
        <v>23680.602206333886</v>
      </c>
      <c r="P29" s="274">
        <f>Worksheet!D20</f>
        <v>338040.81440286536</v>
      </c>
      <c r="Q29" s="212">
        <f>+P29-C29</f>
        <v>28040.814402865362</v>
      </c>
      <c r="R29" s="58"/>
      <c r="S29" s="2"/>
    </row>
    <row r="30" spans="1:19" x14ac:dyDescent="0.2">
      <c r="A30" s="18"/>
      <c r="B30" s="33" t="str">
        <f>Worksheet!B21</f>
        <v>Total Variable Costs %</v>
      </c>
      <c r="C30" s="321">
        <f>Worksheet!C21</f>
        <v>0.62</v>
      </c>
      <c r="D30" s="35">
        <f>+D29/D$12</f>
        <v>0.60291262135922319</v>
      </c>
      <c r="E30" s="35">
        <f t="shared" ref="E30:O30" si="20">+E29/E$12</f>
        <v>0.60291262135922319</v>
      </c>
      <c r="F30" s="35">
        <f t="shared" si="20"/>
        <v>0.60291262135922319</v>
      </c>
      <c r="G30" s="35">
        <f t="shared" si="20"/>
        <v>0.60291262135922319</v>
      </c>
      <c r="H30" s="35">
        <f t="shared" si="20"/>
        <v>0.60291262135922308</v>
      </c>
      <c r="I30" s="35">
        <f t="shared" si="20"/>
        <v>0.6029126213592233</v>
      </c>
      <c r="J30" s="35">
        <f t="shared" si="20"/>
        <v>0.6029126213592233</v>
      </c>
      <c r="K30" s="35">
        <f t="shared" si="20"/>
        <v>0.60291262135922308</v>
      </c>
      <c r="L30" s="35">
        <f t="shared" si="20"/>
        <v>0.6029126213592233</v>
      </c>
      <c r="M30" s="35">
        <f t="shared" si="20"/>
        <v>0.6029126213592233</v>
      </c>
      <c r="N30" s="35">
        <f t="shared" si="20"/>
        <v>0.60291262135922319</v>
      </c>
      <c r="O30" s="35">
        <f t="shared" si="20"/>
        <v>0.60291262135922319</v>
      </c>
      <c r="P30" s="278">
        <f>Worksheet!D21</f>
        <v>0.60291262135922308</v>
      </c>
      <c r="Q30" s="204">
        <f>+Q29/C29</f>
        <v>9.0454240009243098E-2</v>
      </c>
      <c r="R30" s="53"/>
      <c r="S30" s="2"/>
    </row>
    <row r="31" spans="1:19" x14ac:dyDescent="0.2">
      <c r="A31" s="18"/>
      <c r="B31" s="30" t="str">
        <f>Worksheet!B22</f>
        <v>Gross Profit</v>
      </c>
      <c r="C31" s="324">
        <f>Worksheet!C22</f>
        <v>190000</v>
      </c>
      <c r="D31" s="315">
        <f>+D12-D29</f>
        <v>13149.902893781218</v>
      </c>
      <c r="E31" s="36">
        <f t="shared" ref="E31:O31" si="21">+E12-E29</f>
        <v>18546.183667020727</v>
      </c>
      <c r="F31" s="36">
        <f t="shared" si="21"/>
        <v>22032.277727965884</v>
      </c>
      <c r="G31" s="36">
        <f t="shared" si="21"/>
        <v>15592.341961667498</v>
      </c>
      <c r="H31" s="36">
        <f t="shared" si="21"/>
        <v>19996.773578394932</v>
      </c>
      <c r="I31" s="36">
        <f t="shared" si="21"/>
        <v>18352.855718239534</v>
      </c>
      <c r="J31" s="36">
        <f t="shared" si="21"/>
        <v>20239.312737485154</v>
      </c>
      <c r="K31" s="36">
        <f t="shared" si="21"/>
        <v>20349.294789893851</v>
      </c>
      <c r="L31" s="36">
        <f t="shared" si="21"/>
        <v>19754.533012022544</v>
      </c>
      <c r="M31" s="36">
        <f t="shared" si="21"/>
        <v>20074.346280888043</v>
      </c>
      <c r="N31" s="36">
        <f t="shared" si="21"/>
        <v>18954.571816829775</v>
      </c>
      <c r="O31" s="36">
        <f t="shared" si="21"/>
        <v>15596.403063430862</v>
      </c>
      <c r="P31" s="276">
        <f>Worksheet!D22</f>
        <v>222638.79724762007</v>
      </c>
      <c r="Q31" s="212">
        <f>+P31-C31</f>
        <v>32638.797247620067</v>
      </c>
      <c r="R31" s="53"/>
      <c r="S31" s="2"/>
    </row>
    <row r="32" spans="1:19" x14ac:dyDescent="0.2">
      <c r="A32" s="18"/>
      <c r="B32" s="33" t="str">
        <f>Worksheet!B23</f>
        <v>Gross Profit %</v>
      </c>
      <c r="C32" s="321">
        <f>Worksheet!C23</f>
        <v>0.38</v>
      </c>
      <c r="D32" s="35">
        <f>+D31/D12</f>
        <v>0.39708737864077681</v>
      </c>
      <c r="E32" s="34">
        <f t="shared" ref="E32:O32" si="22">+E31/E12</f>
        <v>0.39708737864077676</v>
      </c>
      <c r="F32" s="34">
        <f t="shared" si="22"/>
        <v>0.39708737864077681</v>
      </c>
      <c r="G32" s="34">
        <f t="shared" si="22"/>
        <v>0.39708737864077687</v>
      </c>
      <c r="H32" s="34">
        <f t="shared" si="22"/>
        <v>0.39708737864077687</v>
      </c>
      <c r="I32" s="34">
        <f t="shared" si="22"/>
        <v>0.3970873786407767</v>
      </c>
      <c r="J32" s="34">
        <f t="shared" si="22"/>
        <v>0.3970873786407767</v>
      </c>
      <c r="K32" s="34">
        <f t="shared" si="22"/>
        <v>0.39708737864077692</v>
      </c>
      <c r="L32" s="34">
        <f t="shared" si="22"/>
        <v>0.39708737864077676</v>
      </c>
      <c r="M32" s="34">
        <f t="shared" si="22"/>
        <v>0.39708737864077664</v>
      </c>
      <c r="N32" s="34">
        <f t="shared" si="22"/>
        <v>0.39708737864077681</v>
      </c>
      <c r="O32" s="34">
        <f t="shared" si="22"/>
        <v>0.39708737864077687</v>
      </c>
      <c r="P32" s="278">
        <f>Worksheet!D23</f>
        <v>0.39708737864077692</v>
      </c>
      <c r="Q32" s="204">
        <f>+Q31/C31</f>
        <v>0.17178314340852666</v>
      </c>
      <c r="R32" s="53"/>
      <c r="S32" s="2"/>
    </row>
    <row r="33" spans="1:19" x14ac:dyDescent="0.2">
      <c r="A33" s="18"/>
      <c r="B33" s="33" t="str">
        <f>Worksheet!B24</f>
        <v>Mark-up Equivalent</v>
      </c>
      <c r="C33" s="321">
        <f>Worksheet!C24</f>
        <v>0.61290322580645151</v>
      </c>
      <c r="D33" s="35">
        <f>IF(D12=0,0,+D12/D29-1)</f>
        <v>0.6586151368760067</v>
      </c>
      <c r="E33" s="34">
        <f t="shared" ref="E33:O33" si="23">IF(E12=0,0,+E12/E29-1)</f>
        <v>0.6586151368760067</v>
      </c>
      <c r="F33" s="34">
        <f t="shared" si="23"/>
        <v>0.6586151368760067</v>
      </c>
      <c r="G33" s="34">
        <f t="shared" si="23"/>
        <v>0.65861513687600692</v>
      </c>
      <c r="H33" s="34">
        <f t="shared" si="23"/>
        <v>0.65861513687600692</v>
      </c>
      <c r="I33" s="34">
        <f t="shared" si="23"/>
        <v>0.65861513687600648</v>
      </c>
      <c r="J33" s="34">
        <f t="shared" si="23"/>
        <v>0.65861513687600648</v>
      </c>
      <c r="K33" s="34">
        <f t="shared" si="23"/>
        <v>0.65861513687600692</v>
      </c>
      <c r="L33" s="34">
        <f t="shared" si="23"/>
        <v>0.65861513687600648</v>
      </c>
      <c r="M33" s="34">
        <f t="shared" si="23"/>
        <v>0.65861513687600626</v>
      </c>
      <c r="N33" s="34">
        <f t="shared" si="23"/>
        <v>0.6586151368760067</v>
      </c>
      <c r="O33" s="34">
        <f t="shared" si="23"/>
        <v>0.65861513687600692</v>
      </c>
      <c r="P33" s="272">
        <f>Worksheet!D24</f>
        <v>0.65861513687600715</v>
      </c>
      <c r="Q33" s="204">
        <f>+Q32/C32</f>
        <v>0.45206090370664909</v>
      </c>
      <c r="R33" s="53"/>
      <c r="S33" s="2"/>
    </row>
    <row r="34" spans="1:19" x14ac:dyDescent="0.2">
      <c r="A34" s="18"/>
      <c r="B34" s="143" t="str">
        <f>Worksheet!B25</f>
        <v>Fixed Costs</v>
      </c>
      <c r="C34" s="319"/>
      <c r="D34" s="39"/>
      <c r="E34" s="39"/>
      <c r="F34" s="39"/>
      <c r="G34" s="39"/>
      <c r="H34" s="39"/>
      <c r="I34" s="39"/>
      <c r="J34" s="39"/>
      <c r="K34" s="39"/>
      <c r="L34" s="39"/>
      <c r="M34" s="39"/>
      <c r="N34" s="39"/>
      <c r="O34" s="39"/>
      <c r="P34" s="54"/>
      <c r="Q34" s="28"/>
      <c r="R34" s="53"/>
      <c r="S34" s="2"/>
    </row>
    <row r="35" spans="1:19" x14ac:dyDescent="0.2">
      <c r="A35" s="18"/>
      <c r="B35" s="144" t="str">
        <f>Worksheet!B26</f>
        <v>Location</v>
      </c>
      <c r="C35" s="320">
        <f>Worksheet!C26</f>
        <v>40000</v>
      </c>
      <c r="D35" s="49">
        <f>+$P35/12</f>
        <v>3434.4660194174758</v>
      </c>
      <c r="E35" s="49">
        <f t="shared" ref="E35:O35" si="24">+$P35/12</f>
        <v>3434.4660194174758</v>
      </c>
      <c r="F35" s="49">
        <f t="shared" si="24"/>
        <v>3434.4660194174758</v>
      </c>
      <c r="G35" s="49">
        <f t="shared" si="24"/>
        <v>3434.4660194174758</v>
      </c>
      <c r="H35" s="49">
        <f t="shared" si="24"/>
        <v>3434.4660194174758</v>
      </c>
      <c r="I35" s="49">
        <f t="shared" si="24"/>
        <v>3434.4660194174758</v>
      </c>
      <c r="J35" s="49">
        <f t="shared" si="24"/>
        <v>3434.4660194174758</v>
      </c>
      <c r="K35" s="49">
        <f t="shared" si="24"/>
        <v>3434.4660194174758</v>
      </c>
      <c r="L35" s="49">
        <f t="shared" si="24"/>
        <v>3434.4660194174758</v>
      </c>
      <c r="M35" s="49">
        <f t="shared" si="24"/>
        <v>3434.4660194174758</v>
      </c>
      <c r="N35" s="49">
        <f t="shared" si="24"/>
        <v>3434.4660194174758</v>
      </c>
      <c r="O35" s="49">
        <f t="shared" si="24"/>
        <v>3434.4660194174758</v>
      </c>
      <c r="P35" s="47">
        <f>Worksheet!D26</f>
        <v>41213.592233009709</v>
      </c>
      <c r="Q35" s="212">
        <f>+P35-C35</f>
        <v>1213.5922330097092</v>
      </c>
      <c r="R35" s="53"/>
      <c r="S35" s="2"/>
    </row>
    <row r="36" spans="1:19" x14ac:dyDescent="0.2">
      <c r="A36" s="18"/>
      <c r="B36" s="33" t="str">
        <f>Worksheet!B27</f>
        <v>% Revenue</v>
      </c>
      <c r="C36" s="321">
        <f>Worksheet!C27</f>
        <v>0.08</v>
      </c>
      <c r="D36" s="35">
        <f>+D35/D$12</f>
        <v>0.10371050795563377</v>
      </c>
      <c r="E36" s="35">
        <f t="shared" ref="E36:O36" si="25">+E35/E$12</f>
        <v>7.3534433453628562E-2</v>
      </c>
      <c r="F36" s="35">
        <f t="shared" si="25"/>
        <v>6.1899324505620197E-2</v>
      </c>
      <c r="G36" s="35">
        <f t="shared" si="25"/>
        <v>8.7464930671355107E-2</v>
      </c>
      <c r="H36" s="35">
        <f t="shared" si="25"/>
        <v>6.8200157557156013E-2</v>
      </c>
      <c r="I36" s="35">
        <f t="shared" si="25"/>
        <v>7.4309041035284004E-2</v>
      </c>
      <c r="J36" s="35">
        <f t="shared" si="25"/>
        <v>6.7382876403478398E-2</v>
      </c>
      <c r="K36" s="35">
        <f t="shared" si="25"/>
        <v>6.7018691446674106E-2</v>
      </c>
      <c r="L36" s="35">
        <f t="shared" si="25"/>
        <v>6.9036464078969351E-2</v>
      </c>
      <c r="M36" s="35">
        <f t="shared" si="25"/>
        <v>6.7936613705807683E-2</v>
      </c>
      <c r="N36" s="35">
        <f t="shared" si="25"/>
        <v>7.1950087918652164E-2</v>
      </c>
      <c r="O36" s="35">
        <f t="shared" si="25"/>
        <v>8.7442155933953325E-2</v>
      </c>
      <c r="P36" s="272">
        <f>Worksheet!D27</f>
        <v>7.3506493506493506E-2</v>
      </c>
      <c r="Q36" s="204">
        <f>+Q35/C35</f>
        <v>3.0339805825242729E-2</v>
      </c>
      <c r="R36" s="53"/>
      <c r="S36" s="2"/>
    </row>
    <row r="37" spans="1:19" x14ac:dyDescent="0.2">
      <c r="A37" s="18"/>
      <c r="B37" s="144" t="str">
        <f>Worksheet!B28</f>
        <v>Administration</v>
      </c>
      <c r="C37" s="320">
        <f>Worksheet!C28</f>
        <v>30000</v>
      </c>
      <c r="D37" s="49">
        <f>+$P37/12</f>
        <v>2575.8495145631068</v>
      </c>
      <c r="E37" s="49">
        <f t="shared" ref="E37:O37" si="26">+$P37/12</f>
        <v>2575.8495145631068</v>
      </c>
      <c r="F37" s="49">
        <f t="shared" si="26"/>
        <v>2575.8495145631068</v>
      </c>
      <c r="G37" s="49">
        <f t="shared" si="26"/>
        <v>2575.8495145631068</v>
      </c>
      <c r="H37" s="49">
        <f t="shared" si="26"/>
        <v>2575.8495145631068</v>
      </c>
      <c r="I37" s="49">
        <f t="shared" si="26"/>
        <v>2575.8495145631068</v>
      </c>
      <c r="J37" s="49">
        <f t="shared" si="26"/>
        <v>2575.8495145631068</v>
      </c>
      <c r="K37" s="49">
        <f t="shared" si="26"/>
        <v>2575.8495145631068</v>
      </c>
      <c r="L37" s="49">
        <f t="shared" si="26"/>
        <v>2575.8495145631068</v>
      </c>
      <c r="M37" s="49">
        <f t="shared" si="26"/>
        <v>2575.8495145631068</v>
      </c>
      <c r="N37" s="49">
        <f t="shared" si="26"/>
        <v>2575.8495145631068</v>
      </c>
      <c r="O37" s="49">
        <f t="shared" si="26"/>
        <v>2575.8495145631068</v>
      </c>
      <c r="P37" s="47">
        <f>Worksheet!D28</f>
        <v>30910.194174757282</v>
      </c>
      <c r="Q37" s="212">
        <f>+P37-C37</f>
        <v>910.19417475728187</v>
      </c>
      <c r="R37" s="53"/>
      <c r="S37" s="2"/>
    </row>
    <row r="38" spans="1:19" x14ac:dyDescent="0.2">
      <c r="A38" s="18"/>
      <c r="B38" s="33" t="str">
        <f>Worksheet!B29</f>
        <v>% Revenue</v>
      </c>
      <c r="C38" s="321">
        <f>Worksheet!C29</f>
        <v>0.06</v>
      </c>
      <c r="D38" s="35">
        <f>+D37/D$12</f>
        <v>7.7782880966725337E-2</v>
      </c>
      <c r="E38" s="35">
        <f t="shared" ref="E38:O38" si="27">+E37/E$12</f>
        <v>5.5150825090221421E-2</v>
      </c>
      <c r="F38" s="35">
        <f t="shared" si="27"/>
        <v>4.642449337921515E-2</v>
      </c>
      <c r="G38" s="35">
        <f t="shared" si="27"/>
        <v>6.5598698003516337E-2</v>
      </c>
      <c r="H38" s="35">
        <f t="shared" si="27"/>
        <v>5.1150118167867013E-2</v>
      </c>
      <c r="I38" s="35">
        <f t="shared" si="27"/>
        <v>5.5731780776463007E-2</v>
      </c>
      <c r="J38" s="35">
        <f t="shared" si="27"/>
        <v>5.0537157302608805E-2</v>
      </c>
      <c r="K38" s="35">
        <f t="shared" si="27"/>
        <v>5.0264018585005579E-2</v>
      </c>
      <c r="L38" s="35">
        <f t="shared" si="27"/>
        <v>5.1777348059227006E-2</v>
      </c>
      <c r="M38" s="35">
        <f t="shared" si="27"/>
        <v>5.0952460279355766E-2</v>
      </c>
      <c r="N38" s="35">
        <f t="shared" si="27"/>
        <v>5.396256593898912E-2</v>
      </c>
      <c r="O38" s="35">
        <f t="shared" si="27"/>
        <v>6.5581616950464994E-2</v>
      </c>
      <c r="P38" s="272">
        <f>Worksheet!D29</f>
        <v>5.5129870129870133E-2</v>
      </c>
      <c r="Q38" s="204">
        <f>+Q37/C37</f>
        <v>3.0339805825242729E-2</v>
      </c>
      <c r="R38" s="53"/>
      <c r="S38" s="2"/>
    </row>
    <row r="39" spans="1:19" x14ac:dyDescent="0.2">
      <c r="A39" s="18"/>
      <c r="B39" s="144" t="str">
        <f>Worksheet!B30</f>
        <v>Labor excluding Owner</v>
      </c>
      <c r="C39" s="320">
        <f>Worksheet!C30</f>
        <v>50000</v>
      </c>
      <c r="D39" s="49">
        <f>+$P39/12</f>
        <v>4293.0825242718447</v>
      </c>
      <c r="E39" s="49">
        <f t="shared" ref="E39:O39" si="28">+$P39/12</f>
        <v>4293.0825242718447</v>
      </c>
      <c r="F39" s="49">
        <f t="shared" si="28"/>
        <v>4293.0825242718447</v>
      </c>
      <c r="G39" s="49">
        <f t="shared" si="28"/>
        <v>4293.0825242718447</v>
      </c>
      <c r="H39" s="49">
        <f t="shared" si="28"/>
        <v>4293.0825242718447</v>
      </c>
      <c r="I39" s="49">
        <f t="shared" si="28"/>
        <v>4293.0825242718447</v>
      </c>
      <c r="J39" s="49">
        <f t="shared" si="28"/>
        <v>4293.0825242718447</v>
      </c>
      <c r="K39" s="49">
        <f t="shared" si="28"/>
        <v>4293.0825242718447</v>
      </c>
      <c r="L39" s="49">
        <f t="shared" si="28"/>
        <v>4293.0825242718447</v>
      </c>
      <c r="M39" s="49">
        <f t="shared" si="28"/>
        <v>4293.0825242718447</v>
      </c>
      <c r="N39" s="49">
        <f t="shared" si="28"/>
        <v>4293.0825242718447</v>
      </c>
      <c r="O39" s="49">
        <f t="shared" si="28"/>
        <v>4293.0825242718447</v>
      </c>
      <c r="P39" s="47">
        <f>Worksheet!D30</f>
        <v>51516.990291262133</v>
      </c>
      <c r="Q39" s="212">
        <f>+P39-C39</f>
        <v>1516.9902912621328</v>
      </c>
      <c r="R39" s="53"/>
      <c r="S39" s="2"/>
    </row>
    <row r="40" spans="1:19" x14ac:dyDescent="0.2">
      <c r="A40" s="18"/>
      <c r="B40" s="33" t="str">
        <f>Worksheet!B31</f>
        <v>% Revenue</v>
      </c>
      <c r="C40" s="321">
        <f>Worksheet!C31</f>
        <v>0.1</v>
      </c>
      <c r="D40" s="35">
        <f>+D39/D$12</f>
        <v>0.12963813494454221</v>
      </c>
      <c r="E40" s="35">
        <f t="shared" ref="E40:O40" si="29">+E39/E$12</f>
        <v>9.1918041817035709E-2</v>
      </c>
      <c r="F40" s="35">
        <f t="shared" si="29"/>
        <v>7.7374155632025238E-2</v>
      </c>
      <c r="G40" s="35">
        <f t="shared" si="29"/>
        <v>0.10933116333919389</v>
      </c>
      <c r="H40" s="35">
        <f t="shared" si="29"/>
        <v>8.525019694644502E-2</v>
      </c>
      <c r="I40" s="35">
        <f t="shared" si="29"/>
        <v>9.2886301294105009E-2</v>
      </c>
      <c r="J40" s="35">
        <f t="shared" si="29"/>
        <v>8.4228595504348011E-2</v>
      </c>
      <c r="K40" s="35">
        <f t="shared" si="29"/>
        <v>8.3773364308342632E-2</v>
      </c>
      <c r="L40" s="35">
        <f t="shared" si="29"/>
        <v>8.6295580098711674E-2</v>
      </c>
      <c r="M40" s="35">
        <f t="shared" si="29"/>
        <v>8.4920767132259614E-2</v>
      </c>
      <c r="N40" s="35">
        <f t="shared" si="29"/>
        <v>8.9937609898315202E-2</v>
      </c>
      <c r="O40" s="35">
        <f t="shared" si="29"/>
        <v>0.10930269491744166</v>
      </c>
      <c r="P40" s="272">
        <f>Worksheet!D31</f>
        <v>9.1883116883116872E-2</v>
      </c>
      <c r="Q40" s="204">
        <f>+Q39/C39</f>
        <v>3.0339805825242656E-2</v>
      </c>
      <c r="R40" s="53"/>
      <c r="S40" s="2"/>
    </row>
    <row r="41" spans="1:19" x14ac:dyDescent="0.2">
      <c r="A41" s="18"/>
      <c r="B41" s="144" t="str">
        <f>Worksheet!B32</f>
        <v>Labor Owner</v>
      </c>
      <c r="C41" s="320">
        <f>Worksheet!C32</f>
        <v>10000</v>
      </c>
      <c r="D41" s="49">
        <f>+$P41/12</f>
        <v>858.61650485436894</v>
      </c>
      <c r="E41" s="49">
        <f t="shared" ref="E41:O41" si="30">+$P41/12</f>
        <v>858.61650485436894</v>
      </c>
      <c r="F41" s="49">
        <f t="shared" si="30"/>
        <v>858.61650485436894</v>
      </c>
      <c r="G41" s="49">
        <f t="shared" si="30"/>
        <v>858.61650485436894</v>
      </c>
      <c r="H41" s="49">
        <f t="shared" si="30"/>
        <v>858.61650485436894</v>
      </c>
      <c r="I41" s="49">
        <f t="shared" si="30"/>
        <v>858.61650485436894</v>
      </c>
      <c r="J41" s="49">
        <f t="shared" si="30"/>
        <v>858.61650485436894</v>
      </c>
      <c r="K41" s="49">
        <f t="shared" si="30"/>
        <v>858.61650485436894</v>
      </c>
      <c r="L41" s="49">
        <f t="shared" si="30"/>
        <v>858.61650485436894</v>
      </c>
      <c r="M41" s="49">
        <f t="shared" si="30"/>
        <v>858.61650485436894</v>
      </c>
      <c r="N41" s="49">
        <f t="shared" si="30"/>
        <v>858.61650485436894</v>
      </c>
      <c r="O41" s="49">
        <f t="shared" si="30"/>
        <v>858.61650485436894</v>
      </c>
      <c r="P41" s="47">
        <f>Worksheet!D32</f>
        <v>10303.398058252427</v>
      </c>
      <c r="Q41" s="212">
        <f>+P41-C41</f>
        <v>303.39805825242729</v>
      </c>
      <c r="R41" s="53"/>
      <c r="S41" s="2"/>
    </row>
    <row r="42" spans="1:19" x14ac:dyDescent="0.2">
      <c r="A42" s="18"/>
      <c r="B42" s="33" t="str">
        <f>Worksheet!B33</f>
        <v>% Revenue</v>
      </c>
      <c r="C42" s="321">
        <f>Worksheet!C33</f>
        <v>0.02</v>
      </c>
      <c r="D42" s="35">
        <f>+D41/D$12</f>
        <v>2.5927626988908443E-2</v>
      </c>
      <c r="E42" s="35">
        <f t="shared" ref="E42:O42" si="31">+E41/E$12</f>
        <v>1.838360836340714E-2</v>
      </c>
      <c r="F42" s="35">
        <f t="shared" si="31"/>
        <v>1.5474831126405049E-2</v>
      </c>
      <c r="G42" s="35">
        <f t="shared" si="31"/>
        <v>2.1866232667838777E-2</v>
      </c>
      <c r="H42" s="35">
        <f t="shared" si="31"/>
        <v>1.7050039389289003E-2</v>
      </c>
      <c r="I42" s="35">
        <f t="shared" si="31"/>
        <v>1.8577260258821001E-2</v>
      </c>
      <c r="J42" s="35">
        <f t="shared" si="31"/>
        <v>1.6845719100869599E-2</v>
      </c>
      <c r="K42" s="35">
        <f t="shared" si="31"/>
        <v>1.6754672861668526E-2</v>
      </c>
      <c r="L42" s="35">
        <f t="shared" si="31"/>
        <v>1.7259116019742338E-2</v>
      </c>
      <c r="M42" s="35">
        <f t="shared" si="31"/>
        <v>1.6984153426451921E-2</v>
      </c>
      <c r="N42" s="35">
        <f t="shared" si="31"/>
        <v>1.7987521979663041E-2</v>
      </c>
      <c r="O42" s="35">
        <f t="shared" si="31"/>
        <v>2.1860538983488331E-2</v>
      </c>
      <c r="P42" s="272">
        <f>Worksheet!D33</f>
        <v>1.8376623376623376E-2</v>
      </c>
      <c r="Q42" s="204">
        <f>+Q41/C41</f>
        <v>3.0339805825242729E-2</v>
      </c>
      <c r="R42" s="53"/>
      <c r="S42" s="2"/>
    </row>
    <row r="43" spans="1:19" x14ac:dyDescent="0.2">
      <c r="A43" s="18"/>
      <c r="B43" s="144" t="str">
        <f>Worksheet!B34</f>
        <v>Interest Costs</v>
      </c>
      <c r="C43" s="320">
        <f>Worksheet!C34</f>
        <v>0</v>
      </c>
      <c r="D43" s="49">
        <f>+$P43/12</f>
        <v>0</v>
      </c>
      <c r="E43" s="49">
        <f t="shared" ref="E43:O43" si="32">+$P43/12</f>
        <v>0</v>
      </c>
      <c r="F43" s="49">
        <f t="shared" si="32"/>
        <v>0</v>
      </c>
      <c r="G43" s="49">
        <f t="shared" si="32"/>
        <v>0</v>
      </c>
      <c r="H43" s="49">
        <f t="shared" si="32"/>
        <v>0</v>
      </c>
      <c r="I43" s="49">
        <f t="shared" si="32"/>
        <v>0</v>
      </c>
      <c r="J43" s="49">
        <f t="shared" si="32"/>
        <v>0</v>
      </c>
      <c r="K43" s="49">
        <f t="shared" si="32"/>
        <v>0</v>
      </c>
      <c r="L43" s="49">
        <f t="shared" si="32"/>
        <v>0</v>
      </c>
      <c r="M43" s="49">
        <f t="shared" si="32"/>
        <v>0</v>
      </c>
      <c r="N43" s="49">
        <f t="shared" si="32"/>
        <v>0</v>
      </c>
      <c r="O43" s="49">
        <f t="shared" si="32"/>
        <v>0</v>
      </c>
      <c r="P43" s="47">
        <f>Worksheet!D34</f>
        <v>0</v>
      </c>
      <c r="Q43" s="212">
        <f>+P43-C43</f>
        <v>0</v>
      </c>
      <c r="R43" s="53"/>
      <c r="S43" s="2"/>
    </row>
    <row r="44" spans="1:19" x14ac:dyDescent="0.2">
      <c r="A44" s="18"/>
      <c r="B44" s="33" t="str">
        <f>Worksheet!B35</f>
        <v>% Revenue</v>
      </c>
      <c r="C44" s="321">
        <f>Worksheet!C35</f>
        <v>0</v>
      </c>
      <c r="D44" s="35">
        <f>+D43/D$12</f>
        <v>0</v>
      </c>
      <c r="E44" s="35">
        <f t="shared" ref="E44:O44" si="33">+E43/E$12</f>
        <v>0</v>
      </c>
      <c r="F44" s="35">
        <f t="shared" si="33"/>
        <v>0</v>
      </c>
      <c r="G44" s="35">
        <f t="shared" si="33"/>
        <v>0</v>
      </c>
      <c r="H44" s="35">
        <f t="shared" si="33"/>
        <v>0</v>
      </c>
      <c r="I44" s="35">
        <f t="shared" si="33"/>
        <v>0</v>
      </c>
      <c r="J44" s="35">
        <f t="shared" si="33"/>
        <v>0</v>
      </c>
      <c r="K44" s="35">
        <f t="shared" si="33"/>
        <v>0</v>
      </c>
      <c r="L44" s="35">
        <f t="shared" si="33"/>
        <v>0</v>
      </c>
      <c r="M44" s="35">
        <f t="shared" si="33"/>
        <v>0</v>
      </c>
      <c r="N44" s="35">
        <f t="shared" si="33"/>
        <v>0</v>
      </c>
      <c r="O44" s="35">
        <f t="shared" si="33"/>
        <v>0</v>
      </c>
      <c r="P44" s="278">
        <f>Worksheet!D35</f>
        <v>0</v>
      </c>
      <c r="Q44" s="204" t="e">
        <f>+Q43/C43</f>
        <v>#DIV/0!</v>
      </c>
      <c r="R44" s="53"/>
      <c r="S44" s="2"/>
    </row>
    <row r="45" spans="1:19" x14ac:dyDescent="0.2">
      <c r="A45" s="18"/>
      <c r="B45" s="144" t="str">
        <f>Worksheet!B36</f>
        <v>Other</v>
      </c>
      <c r="C45" s="320">
        <f>Worksheet!C36</f>
        <v>0</v>
      </c>
      <c r="D45" s="49">
        <f>+$P45/12</f>
        <v>0</v>
      </c>
      <c r="E45" s="49">
        <f t="shared" ref="E45:O45" si="34">+$P45/12</f>
        <v>0</v>
      </c>
      <c r="F45" s="49">
        <f t="shared" si="34"/>
        <v>0</v>
      </c>
      <c r="G45" s="49">
        <f t="shared" si="34"/>
        <v>0</v>
      </c>
      <c r="H45" s="49">
        <f t="shared" si="34"/>
        <v>0</v>
      </c>
      <c r="I45" s="49">
        <f t="shared" si="34"/>
        <v>0</v>
      </c>
      <c r="J45" s="49">
        <f t="shared" si="34"/>
        <v>0</v>
      </c>
      <c r="K45" s="49">
        <f t="shared" si="34"/>
        <v>0</v>
      </c>
      <c r="L45" s="49">
        <f t="shared" si="34"/>
        <v>0</v>
      </c>
      <c r="M45" s="49">
        <f t="shared" si="34"/>
        <v>0</v>
      </c>
      <c r="N45" s="49">
        <f t="shared" si="34"/>
        <v>0</v>
      </c>
      <c r="O45" s="49">
        <f t="shared" si="34"/>
        <v>0</v>
      </c>
      <c r="P45" s="47">
        <f>Worksheet!D36</f>
        <v>0</v>
      </c>
      <c r="Q45" s="212">
        <f>+P45-C45</f>
        <v>0</v>
      </c>
      <c r="R45" s="53"/>
      <c r="S45" s="2"/>
    </row>
    <row r="46" spans="1:19" x14ac:dyDescent="0.2">
      <c r="A46" s="18"/>
      <c r="B46" s="33" t="str">
        <f>Worksheet!B37</f>
        <v>% Revenue</v>
      </c>
      <c r="C46" s="321">
        <f>Worksheet!C37</f>
        <v>0</v>
      </c>
      <c r="D46" s="35">
        <f>+D45/D$12</f>
        <v>0</v>
      </c>
      <c r="E46" s="35">
        <f t="shared" ref="E46:O46" si="35">+E45/E$12</f>
        <v>0</v>
      </c>
      <c r="F46" s="35">
        <f t="shared" si="35"/>
        <v>0</v>
      </c>
      <c r="G46" s="35">
        <f t="shared" si="35"/>
        <v>0</v>
      </c>
      <c r="H46" s="35">
        <f t="shared" si="35"/>
        <v>0</v>
      </c>
      <c r="I46" s="35">
        <f t="shared" si="35"/>
        <v>0</v>
      </c>
      <c r="J46" s="35">
        <f t="shared" si="35"/>
        <v>0</v>
      </c>
      <c r="K46" s="35">
        <f t="shared" si="35"/>
        <v>0</v>
      </c>
      <c r="L46" s="35">
        <f t="shared" si="35"/>
        <v>0</v>
      </c>
      <c r="M46" s="35">
        <f t="shared" si="35"/>
        <v>0</v>
      </c>
      <c r="N46" s="35">
        <f t="shared" si="35"/>
        <v>0</v>
      </c>
      <c r="O46" s="35">
        <f t="shared" si="35"/>
        <v>0</v>
      </c>
      <c r="P46" s="272">
        <f>Worksheet!D37</f>
        <v>0</v>
      </c>
      <c r="Q46" s="204" t="e">
        <f>+Q45/C45</f>
        <v>#DIV/0!</v>
      </c>
      <c r="R46" s="53"/>
      <c r="S46" s="2"/>
    </row>
    <row r="47" spans="1:19" x14ac:dyDescent="0.2">
      <c r="A47" s="18"/>
      <c r="B47" s="144" t="str">
        <f>Worksheet!B38</f>
        <v>Total Fixed Costs</v>
      </c>
      <c r="C47" s="322">
        <f>Worksheet!C38</f>
        <v>130000</v>
      </c>
      <c r="D47" s="52">
        <f>+D35+D37+D39+D41+D43+D45</f>
        <v>11162.014563106797</v>
      </c>
      <c r="E47" s="51">
        <f t="shared" ref="E47:O47" si="36">+E35+E37+E39+E41+E43+E45</f>
        <v>11162.014563106797</v>
      </c>
      <c r="F47" s="51">
        <f t="shared" si="36"/>
        <v>11162.014563106797</v>
      </c>
      <c r="G47" s="51">
        <f t="shared" si="36"/>
        <v>11162.014563106797</v>
      </c>
      <c r="H47" s="51">
        <f t="shared" si="36"/>
        <v>11162.014563106797</v>
      </c>
      <c r="I47" s="51">
        <f t="shared" si="36"/>
        <v>11162.014563106797</v>
      </c>
      <c r="J47" s="51">
        <f t="shared" si="36"/>
        <v>11162.014563106797</v>
      </c>
      <c r="K47" s="51">
        <f t="shared" si="36"/>
        <v>11162.014563106797</v>
      </c>
      <c r="L47" s="51">
        <f t="shared" si="36"/>
        <v>11162.014563106797</v>
      </c>
      <c r="M47" s="51">
        <f t="shared" si="36"/>
        <v>11162.014563106797</v>
      </c>
      <c r="N47" s="51">
        <f t="shared" si="36"/>
        <v>11162.014563106797</v>
      </c>
      <c r="O47" s="51">
        <f t="shared" si="36"/>
        <v>11162.014563106797</v>
      </c>
      <c r="P47" s="274">
        <f>Worksheet!D38</f>
        <v>133944.17475728155</v>
      </c>
      <c r="Q47" s="212">
        <f>+P47-C47</f>
        <v>3944.1747572815511</v>
      </c>
      <c r="R47" s="53"/>
      <c r="S47" s="2"/>
    </row>
    <row r="48" spans="1:19" x14ac:dyDescent="0.2">
      <c r="A48" s="18"/>
      <c r="B48" s="33" t="str">
        <f>Worksheet!B39</f>
        <v>Total Fixed Costs %</v>
      </c>
      <c r="C48" s="323">
        <f>Worksheet!C39</f>
        <v>0.26</v>
      </c>
      <c r="D48" s="38">
        <f>+D47/D12</f>
        <v>0.33705915085580979</v>
      </c>
      <c r="E48" s="37">
        <f t="shared" ref="E48:O48" si="37">+E47/E12</f>
        <v>0.23898690872429285</v>
      </c>
      <c r="F48" s="37">
        <f t="shared" si="37"/>
        <v>0.20117280464326565</v>
      </c>
      <c r="G48" s="37">
        <f t="shared" si="37"/>
        <v>0.28426102468190412</v>
      </c>
      <c r="H48" s="37">
        <f t="shared" si="37"/>
        <v>0.22165051206075709</v>
      </c>
      <c r="I48" s="37">
        <f t="shared" si="37"/>
        <v>0.24150438336467303</v>
      </c>
      <c r="J48" s="37">
        <f t="shared" si="37"/>
        <v>0.21899434831130482</v>
      </c>
      <c r="K48" s="37">
        <f t="shared" si="37"/>
        <v>0.21781074720169089</v>
      </c>
      <c r="L48" s="37">
        <f t="shared" si="37"/>
        <v>0.22436850825665039</v>
      </c>
      <c r="M48" s="37">
        <f t="shared" si="37"/>
        <v>0.22079399454387499</v>
      </c>
      <c r="N48" s="37">
        <f t="shared" si="37"/>
        <v>0.23383778573561953</v>
      </c>
      <c r="O48" s="37">
        <f t="shared" si="37"/>
        <v>0.28418700678534836</v>
      </c>
      <c r="P48" s="275">
        <f>Worksheet!D39</f>
        <v>0.23889610389610388</v>
      </c>
      <c r="Q48" s="204">
        <f>+Q47/C47</f>
        <v>3.0339805825242702E-2</v>
      </c>
      <c r="R48" s="53"/>
      <c r="S48" s="2"/>
    </row>
    <row r="49" spans="1:19" x14ac:dyDescent="0.2">
      <c r="A49" s="18"/>
      <c r="B49" s="30"/>
      <c r="C49" s="321"/>
      <c r="D49" s="35"/>
      <c r="E49" s="35"/>
      <c r="F49" s="35"/>
      <c r="G49" s="35"/>
      <c r="H49" s="35"/>
      <c r="I49" s="35"/>
      <c r="J49" s="35"/>
      <c r="K49" s="35"/>
      <c r="L49" s="35"/>
      <c r="M49" s="35"/>
      <c r="N49" s="35"/>
      <c r="O49" s="35"/>
      <c r="P49" s="277"/>
      <c r="Q49" s="37"/>
      <c r="R49" s="53"/>
      <c r="S49" s="2"/>
    </row>
    <row r="50" spans="1:19" x14ac:dyDescent="0.2">
      <c r="A50" s="18"/>
      <c r="B50" s="17" t="str">
        <f>Worksheet!B41</f>
        <v>Total Expenses</v>
      </c>
      <c r="C50" s="322">
        <f>Worksheet!C41</f>
        <v>440000</v>
      </c>
      <c r="D50" s="52">
        <f>+D47+D29</f>
        <v>31128.004042417637</v>
      </c>
      <c r="E50" s="52">
        <f t="shared" ref="E50:O50" si="38">+E47+E29</f>
        <v>39321.379006187155</v>
      </c>
      <c r="F50" s="52">
        <f t="shared" si="38"/>
        <v>44614.446027817816</v>
      </c>
      <c r="G50" s="52">
        <f t="shared" si="38"/>
        <v>34836.450646714402</v>
      </c>
      <c r="H50" s="52">
        <f t="shared" si="38"/>
        <v>41523.863932747976</v>
      </c>
      <c r="I50" s="52">
        <f t="shared" si="38"/>
        <v>39027.841949480273</v>
      </c>
      <c r="J50" s="52">
        <f t="shared" si="38"/>
        <v>41892.120210975452</v>
      </c>
      <c r="K50" s="52">
        <f t="shared" si="38"/>
        <v>42059.110075390592</v>
      </c>
      <c r="L50" s="52">
        <f t="shared" si="38"/>
        <v>41156.061019013883</v>
      </c>
      <c r="M50" s="52">
        <f t="shared" si="38"/>
        <v>41641.645468807226</v>
      </c>
      <c r="N50" s="52">
        <f t="shared" si="38"/>
        <v>39941.450011153953</v>
      </c>
      <c r="O50" s="52">
        <f t="shared" si="38"/>
        <v>34842.616769440683</v>
      </c>
      <c r="P50" s="279">
        <f>Worksheet!D41</f>
        <v>471984.98916014691</v>
      </c>
      <c r="Q50" s="212">
        <f>+P50-C50</f>
        <v>31984.989160146913</v>
      </c>
      <c r="R50" s="53"/>
      <c r="S50" s="2"/>
    </row>
    <row r="51" spans="1:19" x14ac:dyDescent="0.2">
      <c r="A51" s="18"/>
      <c r="B51" s="40"/>
      <c r="C51" s="325"/>
      <c r="D51" s="31"/>
      <c r="E51" s="31"/>
      <c r="F51" s="31"/>
      <c r="G51" s="31"/>
      <c r="H51" s="31"/>
      <c r="I51" s="31"/>
      <c r="J51" s="31"/>
      <c r="K51" s="31"/>
      <c r="L51" s="31"/>
      <c r="M51" s="31"/>
      <c r="N51" s="31"/>
      <c r="O51" s="31"/>
      <c r="P51" s="58"/>
      <c r="Q51" s="32"/>
      <c r="R51" s="53"/>
      <c r="S51" s="2"/>
    </row>
    <row r="52" spans="1:19" x14ac:dyDescent="0.2">
      <c r="A52" s="18"/>
      <c r="B52" s="146" t="str">
        <f>Worksheet!B43</f>
        <v>Operating Surplus</v>
      </c>
      <c r="C52" s="322">
        <f>Worksheet!C43</f>
        <v>60000</v>
      </c>
      <c r="D52" s="52">
        <f>+D12-D50</f>
        <v>1987.888330674421</v>
      </c>
      <c r="E52" s="52">
        <f t="shared" ref="E52:O52" si="39">+E12-E50</f>
        <v>7384.1691039139332</v>
      </c>
      <c r="F52" s="52">
        <f t="shared" si="39"/>
        <v>10870.26316485909</v>
      </c>
      <c r="G52" s="52">
        <f t="shared" si="39"/>
        <v>4430.3273985607011</v>
      </c>
      <c r="H52" s="52">
        <f t="shared" si="39"/>
        <v>8834.7590152881385</v>
      </c>
      <c r="I52" s="52">
        <f t="shared" si="39"/>
        <v>7190.8411551327372</v>
      </c>
      <c r="J52" s="52">
        <f t="shared" si="39"/>
        <v>9077.2981743783603</v>
      </c>
      <c r="K52" s="52">
        <f t="shared" si="39"/>
        <v>9187.2802267870502</v>
      </c>
      <c r="L52" s="52">
        <f t="shared" si="39"/>
        <v>8592.5184489157473</v>
      </c>
      <c r="M52" s="52">
        <f t="shared" si="39"/>
        <v>8912.3317177812496</v>
      </c>
      <c r="N52" s="52">
        <f t="shared" si="39"/>
        <v>7792.5572537229746</v>
      </c>
      <c r="O52" s="52">
        <f t="shared" si="39"/>
        <v>4434.3885003240648</v>
      </c>
      <c r="P52" s="279">
        <f>Worksheet!D43</f>
        <v>88694.622490338515</v>
      </c>
      <c r="Q52" s="212">
        <f>+P52-C52</f>
        <v>28694.622490338515</v>
      </c>
      <c r="R52" s="53"/>
      <c r="S52" s="2"/>
    </row>
    <row r="53" spans="1:19" x14ac:dyDescent="0.2">
      <c r="A53" s="18"/>
      <c r="B53" s="33" t="str">
        <f>Worksheet!B44</f>
        <v>Operating Surplus %</v>
      </c>
      <c r="C53" s="323">
        <f>Worksheet!C44</f>
        <v>0.12</v>
      </c>
      <c r="D53" s="38">
        <f>+D52/D12</f>
        <v>6.0028227784966991E-2</v>
      </c>
      <c r="E53" s="37">
        <f t="shared" ref="E53:O53" si="40">+E52/E12</f>
        <v>0.15810046991648399</v>
      </c>
      <c r="F53" s="37">
        <f t="shared" si="40"/>
        <v>0.19591457399751122</v>
      </c>
      <c r="G53" s="37">
        <f t="shared" si="40"/>
        <v>0.11282635395887272</v>
      </c>
      <c r="H53" s="37">
        <f t="shared" si="40"/>
        <v>0.17543686658001986</v>
      </c>
      <c r="I53" s="37">
        <f t="shared" si="40"/>
        <v>0.15558299527610364</v>
      </c>
      <c r="J53" s="37">
        <f t="shared" si="40"/>
        <v>0.17809303032947191</v>
      </c>
      <c r="K53" s="37">
        <f t="shared" si="40"/>
        <v>0.17927663143908595</v>
      </c>
      <c r="L53" s="37">
        <f t="shared" si="40"/>
        <v>0.17271887038412634</v>
      </c>
      <c r="M53" s="37">
        <f t="shared" si="40"/>
        <v>0.17629338409690173</v>
      </c>
      <c r="N53" s="37">
        <f t="shared" si="40"/>
        <v>0.1632495929051572</v>
      </c>
      <c r="O53" s="37">
        <f t="shared" si="40"/>
        <v>0.11290037185542851</v>
      </c>
      <c r="P53" s="275">
        <f>Worksheet!D44</f>
        <v>0.15819127474467304</v>
      </c>
      <c r="Q53" s="204">
        <f>+Q52/C52</f>
        <v>0.4782437081723086</v>
      </c>
      <c r="R53" s="53"/>
      <c r="S53" s="2"/>
    </row>
    <row r="54" spans="1:19" x14ac:dyDescent="0.2">
      <c r="A54" s="18"/>
      <c r="B54" s="33"/>
      <c r="C54" s="323"/>
      <c r="D54" s="38"/>
      <c r="E54" s="37"/>
      <c r="F54" s="37"/>
      <c r="G54" s="37"/>
      <c r="H54" s="37"/>
      <c r="I54" s="37"/>
      <c r="J54" s="37"/>
      <c r="K54" s="37"/>
      <c r="L54" s="37"/>
      <c r="M54" s="37"/>
      <c r="N54" s="37"/>
      <c r="O54" s="37"/>
      <c r="P54" s="275"/>
      <c r="Q54" s="37"/>
      <c r="R54" s="59"/>
      <c r="S54" s="2"/>
    </row>
    <row r="55" spans="1:19" x14ac:dyDescent="0.2">
      <c r="A55" s="18"/>
      <c r="B55" s="269" t="str">
        <f>Worksheet!B46</f>
        <v>LESS</v>
      </c>
      <c r="C55" s="323"/>
      <c r="D55" s="38"/>
      <c r="E55" s="37"/>
      <c r="F55" s="37"/>
      <c r="G55" s="37"/>
      <c r="H55" s="37"/>
      <c r="I55" s="37"/>
      <c r="J55" s="37"/>
      <c r="K55" s="37"/>
      <c r="L55" s="37"/>
      <c r="M55" s="37"/>
      <c r="N55" s="37"/>
      <c r="O55" s="37"/>
      <c r="P55" s="275"/>
      <c r="Q55" s="37"/>
      <c r="R55" s="152"/>
      <c r="S55" s="2"/>
    </row>
    <row r="56" spans="1:19" x14ac:dyDescent="0.2">
      <c r="A56" s="18"/>
      <c r="B56" s="282" t="str">
        <f>Worksheet!B47</f>
        <v>Depreciation Allowance</v>
      </c>
      <c r="C56" s="326">
        <f>Worksheet!C47</f>
        <v>12500</v>
      </c>
      <c r="D56" s="46">
        <f>+$P56/12</f>
        <v>1073.2706310679612</v>
      </c>
      <c r="E56" s="46">
        <f t="shared" ref="E56:O56" si="41">+$P56/12</f>
        <v>1073.2706310679612</v>
      </c>
      <c r="F56" s="46">
        <f t="shared" si="41"/>
        <v>1073.2706310679612</v>
      </c>
      <c r="G56" s="46">
        <f t="shared" si="41"/>
        <v>1073.2706310679612</v>
      </c>
      <c r="H56" s="46">
        <f t="shared" si="41"/>
        <v>1073.2706310679612</v>
      </c>
      <c r="I56" s="46">
        <f t="shared" si="41"/>
        <v>1073.2706310679612</v>
      </c>
      <c r="J56" s="46">
        <f t="shared" si="41"/>
        <v>1073.2706310679612</v>
      </c>
      <c r="K56" s="46">
        <f t="shared" si="41"/>
        <v>1073.2706310679612</v>
      </c>
      <c r="L56" s="46">
        <f t="shared" si="41"/>
        <v>1073.2706310679612</v>
      </c>
      <c r="M56" s="46">
        <f t="shared" si="41"/>
        <v>1073.2706310679612</v>
      </c>
      <c r="N56" s="46">
        <f t="shared" si="41"/>
        <v>1073.2706310679612</v>
      </c>
      <c r="O56" s="46">
        <f t="shared" si="41"/>
        <v>1073.2706310679612</v>
      </c>
      <c r="P56" s="312">
        <f>Worksheet!D47</f>
        <v>12879.247572815533</v>
      </c>
      <c r="Q56" s="212">
        <f>+P56-C56</f>
        <v>379.2475728155332</v>
      </c>
      <c r="R56" s="152"/>
      <c r="S56" s="2"/>
    </row>
    <row r="57" spans="1:19" x14ac:dyDescent="0.2">
      <c r="A57" s="18"/>
      <c r="B57" s="282"/>
      <c r="C57" s="327"/>
      <c r="D57" s="284"/>
      <c r="E57" s="285"/>
      <c r="F57" s="285"/>
      <c r="G57" s="285"/>
      <c r="H57" s="285"/>
      <c r="I57" s="285"/>
      <c r="J57" s="285"/>
      <c r="K57" s="285"/>
      <c r="L57" s="285"/>
      <c r="M57" s="285"/>
      <c r="N57" s="285"/>
      <c r="O57" s="285"/>
      <c r="P57" s="283"/>
      <c r="Q57" s="285"/>
      <c r="R57" s="152"/>
      <c r="S57" s="2"/>
    </row>
    <row r="58" spans="1:19" x14ac:dyDescent="0.2">
      <c r="A58" s="18"/>
      <c r="B58" s="41" t="str">
        <f>Worksheet!B49</f>
        <v>Business Return</v>
      </c>
      <c r="C58" s="328">
        <f>Worksheet!C49</f>
        <v>47500</v>
      </c>
      <c r="D58" s="306">
        <f>+D52-D56</f>
        <v>914.61769960645984</v>
      </c>
      <c r="E58" s="289">
        <f t="shared" ref="E58:O58" si="42">+E52-E56</f>
        <v>6310.8984728459718</v>
      </c>
      <c r="F58" s="289">
        <f t="shared" si="42"/>
        <v>9796.99253379113</v>
      </c>
      <c r="G58" s="289">
        <f t="shared" si="42"/>
        <v>3357.0567674927397</v>
      </c>
      <c r="H58" s="289">
        <f t="shared" si="42"/>
        <v>7761.4883842201771</v>
      </c>
      <c r="I58" s="289">
        <f t="shared" si="42"/>
        <v>6117.5705240647758</v>
      </c>
      <c r="J58" s="289">
        <f t="shared" si="42"/>
        <v>8004.0275433103989</v>
      </c>
      <c r="K58" s="289">
        <f t="shared" si="42"/>
        <v>8114.0095957190888</v>
      </c>
      <c r="L58" s="289">
        <f t="shared" si="42"/>
        <v>7519.2478178477859</v>
      </c>
      <c r="M58" s="289">
        <f t="shared" si="42"/>
        <v>7839.0610867132882</v>
      </c>
      <c r="N58" s="289">
        <f t="shared" si="42"/>
        <v>6719.2866226550132</v>
      </c>
      <c r="O58" s="289">
        <f t="shared" si="42"/>
        <v>3361.1178692561034</v>
      </c>
      <c r="P58" s="289">
        <f>Worksheet!D49</f>
        <v>75815.374917522975</v>
      </c>
      <c r="Q58" s="212">
        <f>+P58-C58</f>
        <v>28315.374917522975</v>
      </c>
      <c r="R58" s="152"/>
      <c r="S58" s="2"/>
    </row>
    <row r="59" spans="1:19" x14ac:dyDescent="0.2">
      <c r="A59" s="18"/>
      <c r="B59" s="33" t="str">
        <f>Worksheet!B50</f>
        <v>Business Return %</v>
      </c>
      <c r="C59" s="329">
        <f>Worksheet!C50</f>
        <v>9.5000000000000001E-2</v>
      </c>
      <c r="D59" s="307">
        <f>+D58/D12</f>
        <v>2.7618694048831431E-2</v>
      </c>
      <c r="E59" s="296">
        <f t="shared" ref="E59:O59" si="43">+E58/E12</f>
        <v>0.13512095946222508</v>
      </c>
      <c r="F59" s="296">
        <f t="shared" si="43"/>
        <v>0.17657103508950492</v>
      </c>
      <c r="G59" s="296">
        <f t="shared" si="43"/>
        <v>8.5493563124074246E-2</v>
      </c>
      <c r="H59" s="296">
        <f t="shared" si="43"/>
        <v>0.15412431734340862</v>
      </c>
      <c r="I59" s="296">
        <f t="shared" si="43"/>
        <v>0.13236141995257739</v>
      </c>
      <c r="J59" s="296">
        <f t="shared" si="43"/>
        <v>0.15703588145338493</v>
      </c>
      <c r="K59" s="296">
        <f t="shared" si="43"/>
        <v>0.15833329036200031</v>
      </c>
      <c r="L59" s="296">
        <f t="shared" si="43"/>
        <v>0.15114497535944843</v>
      </c>
      <c r="M59" s="296">
        <f t="shared" si="43"/>
        <v>0.15506319231383683</v>
      </c>
      <c r="N59" s="296">
        <f t="shared" si="43"/>
        <v>0.14076519043057839</v>
      </c>
      <c r="O59" s="296">
        <f t="shared" si="43"/>
        <v>8.5574698126068077E-2</v>
      </c>
      <c r="P59" s="296">
        <f>Worksheet!D50</f>
        <v>0.13522049552389379</v>
      </c>
      <c r="Q59" s="204">
        <f>+Q58/C58</f>
        <v>0.59611315615837845</v>
      </c>
      <c r="R59" s="153"/>
      <c r="S59" s="2"/>
    </row>
    <row r="60" spans="1:19" x14ac:dyDescent="0.2">
      <c r="A60" s="18"/>
      <c r="B60" s="287"/>
      <c r="C60" s="323"/>
      <c r="D60" s="38"/>
      <c r="E60" s="38"/>
      <c r="F60" s="38"/>
      <c r="G60" s="38"/>
      <c r="H60" s="38"/>
      <c r="I60" s="38"/>
      <c r="J60" s="38"/>
      <c r="K60" s="38"/>
      <c r="L60" s="38"/>
      <c r="M60" s="38"/>
      <c r="N60" s="38"/>
      <c r="O60" s="38"/>
      <c r="P60" s="275"/>
      <c r="Q60" s="37"/>
      <c r="R60" s="153"/>
      <c r="S60" s="2"/>
    </row>
    <row r="61" spans="1:19" x14ac:dyDescent="0.2">
      <c r="A61" s="18"/>
      <c r="B61" s="547"/>
      <c r="C61" s="547"/>
      <c r="D61" s="547"/>
      <c r="E61" s="547"/>
      <c r="F61" s="547"/>
      <c r="G61" s="547"/>
      <c r="H61" s="547"/>
      <c r="I61" s="547"/>
      <c r="J61" s="547"/>
      <c r="K61" s="547"/>
      <c r="L61" s="547"/>
      <c r="M61" s="547"/>
      <c r="N61" s="547"/>
      <c r="O61" s="547"/>
      <c r="P61" s="547"/>
      <c r="Q61" s="547"/>
      <c r="R61" s="153"/>
      <c r="S61" s="2"/>
    </row>
    <row r="62" spans="1:19" ht="18" x14ac:dyDescent="0.2">
      <c r="A62" s="18"/>
      <c r="B62" s="548"/>
      <c r="C62" s="548"/>
      <c r="D62" s="548"/>
      <c r="E62" s="548"/>
      <c r="F62" s="548"/>
      <c r="G62" s="548"/>
      <c r="H62" s="548"/>
      <c r="I62" s="548"/>
      <c r="J62" s="548"/>
      <c r="K62" s="548"/>
      <c r="L62" s="548"/>
      <c r="M62" s="548"/>
      <c r="N62" s="548"/>
      <c r="O62" s="548"/>
      <c r="P62" s="548"/>
      <c r="Q62" s="548"/>
      <c r="R62" s="153"/>
      <c r="S62" s="2"/>
    </row>
    <row r="63" spans="1:19" ht="18" x14ac:dyDescent="0.2">
      <c r="A63" s="18"/>
      <c r="B63" s="548"/>
      <c r="C63" s="548"/>
      <c r="D63" s="548"/>
      <c r="E63" s="548"/>
      <c r="F63" s="548"/>
      <c r="G63" s="548"/>
      <c r="H63" s="548"/>
      <c r="I63" s="548"/>
      <c r="J63" s="548"/>
      <c r="K63" s="548"/>
      <c r="L63" s="548"/>
      <c r="M63" s="548"/>
      <c r="N63" s="548"/>
      <c r="O63" s="548"/>
      <c r="P63" s="548"/>
      <c r="Q63" s="548"/>
      <c r="R63" s="153"/>
      <c r="S63" s="2"/>
    </row>
    <row r="64" spans="1:19" ht="18" x14ac:dyDescent="0.2">
      <c r="A64" s="3"/>
      <c r="B64" s="524"/>
      <c r="C64" s="524"/>
      <c r="D64" s="524"/>
      <c r="E64" s="524"/>
      <c r="F64" s="524"/>
      <c r="G64" s="524"/>
      <c r="H64" s="524"/>
      <c r="I64" s="524"/>
      <c r="J64" s="524"/>
      <c r="K64" s="524"/>
      <c r="L64" s="524"/>
      <c r="M64" s="524"/>
      <c r="N64" s="524"/>
      <c r="O64" s="524"/>
      <c r="P64" s="524"/>
      <c r="Q64" s="524"/>
      <c r="R64" s="153"/>
      <c r="S64" s="2"/>
    </row>
    <row r="65" spans="1:19" ht="18" x14ac:dyDescent="0.2">
      <c r="A65" s="3"/>
      <c r="B65" s="525"/>
      <c r="C65" s="525"/>
      <c r="D65" s="525"/>
      <c r="E65" s="525"/>
      <c r="F65" s="525"/>
      <c r="G65" s="525"/>
      <c r="H65" s="525"/>
      <c r="I65" s="525"/>
      <c r="J65" s="525"/>
      <c r="K65" s="525"/>
      <c r="L65" s="525"/>
      <c r="M65" s="525"/>
      <c r="N65" s="525"/>
      <c r="O65" s="525"/>
      <c r="P65" s="525"/>
      <c r="Q65" s="525"/>
      <c r="R65" s="153"/>
      <c r="S65" s="2"/>
    </row>
    <row r="66" spans="1:19" ht="18" x14ac:dyDescent="0.2">
      <c r="A66" s="2"/>
      <c r="B66" s="526"/>
      <c r="C66" s="526"/>
      <c r="D66" s="526"/>
      <c r="E66" s="526"/>
      <c r="F66" s="526"/>
      <c r="G66" s="526"/>
      <c r="H66" s="526"/>
      <c r="I66" s="526"/>
      <c r="J66" s="526"/>
      <c r="K66" s="526"/>
      <c r="L66" s="526"/>
      <c r="M66" s="526"/>
      <c r="N66" s="526"/>
      <c r="O66" s="526"/>
      <c r="P66" s="526"/>
      <c r="Q66" s="526"/>
      <c r="R66" s="2"/>
      <c r="S66" s="2"/>
    </row>
    <row r="67" spans="1:19" ht="18" x14ac:dyDescent="0.2">
      <c r="A67" s="2"/>
      <c r="B67" s="520"/>
      <c r="C67" s="520"/>
      <c r="D67" s="520"/>
      <c r="E67" s="520"/>
      <c r="F67" s="520"/>
      <c r="G67" s="520"/>
      <c r="H67" s="520"/>
      <c r="I67" s="520"/>
      <c r="J67" s="520"/>
      <c r="K67" s="520"/>
      <c r="L67" s="520"/>
      <c r="M67" s="520"/>
      <c r="N67" s="520"/>
      <c r="O67" s="520"/>
      <c r="P67" s="520"/>
      <c r="Q67" s="520"/>
      <c r="R67" s="2"/>
      <c r="S67" s="2"/>
    </row>
    <row r="68" spans="1:19" ht="18" x14ac:dyDescent="0.2">
      <c r="A68" s="2"/>
      <c r="B68" s="521"/>
      <c r="C68" s="521"/>
      <c r="D68" s="521"/>
      <c r="E68" s="521"/>
      <c r="F68" s="521"/>
      <c r="G68" s="521"/>
      <c r="H68" s="521"/>
      <c r="I68" s="521"/>
      <c r="J68" s="521"/>
      <c r="K68" s="521"/>
      <c r="L68" s="521"/>
      <c r="M68" s="521"/>
      <c r="N68" s="521"/>
      <c r="O68" s="521"/>
      <c r="P68" s="521"/>
      <c r="Q68" s="521"/>
      <c r="R68" s="2"/>
      <c r="S68" s="2"/>
    </row>
    <row r="69" spans="1:19" ht="18" x14ac:dyDescent="0.2">
      <c r="A69" s="2"/>
      <c r="B69" s="475"/>
      <c r="C69" s="475"/>
      <c r="D69" s="475"/>
      <c r="E69" s="475"/>
      <c r="F69" s="475"/>
      <c r="G69" s="475"/>
      <c r="H69" s="475"/>
      <c r="I69" s="475"/>
      <c r="J69" s="475"/>
      <c r="K69" s="475"/>
      <c r="L69" s="475"/>
      <c r="M69" s="475"/>
      <c r="N69" s="475"/>
      <c r="O69" s="475"/>
      <c r="P69" s="475"/>
      <c r="Q69" s="475"/>
      <c r="R69" s="2"/>
      <c r="S69" s="2"/>
    </row>
    <row r="70" spans="1:19" x14ac:dyDescent="0.2">
      <c r="A70" s="2"/>
      <c r="B70" s="522"/>
      <c r="C70" s="522"/>
      <c r="D70" s="522"/>
      <c r="E70" s="522"/>
      <c r="F70" s="522"/>
      <c r="G70" s="522"/>
      <c r="H70" s="522"/>
      <c r="I70" s="522"/>
      <c r="J70" s="522"/>
      <c r="K70" s="522"/>
      <c r="L70" s="522"/>
      <c r="M70" s="522"/>
      <c r="N70" s="522"/>
      <c r="O70" s="522"/>
      <c r="P70" s="522"/>
      <c r="Q70" s="522"/>
      <c r="R70" s="2"/>
      <c r="S70" s="2"/>
    </row>
    <row r="71" spans="1:19" x14ac:dyDescent="0.2">
      <c r="A71" s="2"/>
      <c r="B71" s="2"/>
      <c r="C71" s="2"/>
      <c r="D71" s="2"/>
      <c r="E71" s="2"/>
      <c r="F71" s="2"/>
      <c r="G71" s="2"/>
      <c r="H71" s="2"/>
      <c r="I71" s="2"/>
      <c r="J71" s="2"/>
      <c r="K71" s="2"/>
      <c r="L71" s="2"/>
      <c r="M71" s="2"/>
      <c r="N71" s="2"/>
      <c r="O71" s="2"/>
      <c r="P71" s="2"/>
      <c r="Q71" s="2"/>
      <c r="R71" s="2"/>
      <c r="S71" s="2"/>
    </row>
  </sheetData>
  <sheetProtection algorithmName="SHA-512" hashValue="Ju8jSdQ9NLZaDIeAH9X40xmSTyV2rUGdQA2kr44sTYTQPn487Mdwgqs8JGg6+8ro4pE5kXNHKyiPqRCWG41l9Q==" saltValue="igZ2mOzY2ffmMn08iA05Cw==" spinCount="100000" sheet="1" objects="1" scenarios="1" formatCells="0" formatColumns="0" formatRows="0"/>
  <mergeCells count="13">
    <mergeCell ref="B70:Q70"/>
    <mergeCell ref="B67:Q67"/>
    <mergeCell ref="B68:Q68"/>
    <mergeCell ref="B69:Q69"/>
    <mergeCell ref="B65:Q65"/>
    <mergeCell ref="B66:Q66"/>
    <mergeCell ref="B64:Q64"/>
    <mergeCell ref="B63:Q63"/>
    <mergeCell ref="B2:Q2"/>
    <mergeCell ref="B61:Q61"/>
    <mergeCell ref="D5:P5"/>
    <mergeCell ref="C5:C6"/>
    <mergeCell ref="B62:Q62"/>
  </mergeCells>
  <phoneticPr fontId="0" type="noConversion"/>
  <hyperlinks>
    <hyperlink ref="B3" location="Instructions!B62" tooltip="Go to Instruction Sheet" display="Budget by Month Master" xr:uid="{00000000-0004-0000-0B00-000000000000}"/>
    <hyperlink ref="B6" location="Instructions!B65" tooltip="Go to Instruction Sheet" display="Budget Month" xr:uid="{00000000-0004-0000-0B00-000001000000}"/>
    <hyperlink ref="B9" location="Instructions!B66" tooltip="Go to Instruction Sheet" display="Percentage Contributor" xr:uid="{00000000-0004-0000-0B00-000002000000}"/>
  </hyperlinks>
  <printOptions horizontalCentered="1" verticalCentered="1"/>
  <pageMargins left="0.74803149606299213" right="0.74803149606299213" top="0.98425196850393704" bottom="0.98425196850393704" header="0.51181102362204722" footer="0.51181102362204722"/>
  <pageSetup paperSize="9" scale="56" orientation="landscape" horizontalDpi="360" verticalDpi="0" copies="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pageSetUpPr fitToPage="1"/>
  </sheetPr>
  <dimension ref="A1:T71"/>
  <sheetViews>
    <sheetView showGridLines="0" zoomScaleNormal="100" workbookViewId="0"/>
  </sheetViews>
  <sheetFormatPr defaultRowHeight="12.75" x14ac:dyDescent="0.2"/>
  <cols>
    <col min="1" max="1" width="2.28515625" customWidth="1"/>
    <col min="2" max="2" width="8" customWidth="1"/>
    <col min="3" max="3" width="24.7109375" customWidth="1"/>
    <col min="4" max="18" width="12.7109375" customWidth="1"/>
    <col min="19" max="19" width="4.28515625" customWidth="1"/>
  </cols>
  <sheetData>
    <row r="1" spans="1:20" ht="3.75" customHeight="1" x14ac:dyDescent="0.2">
      <c r="A1" s="2"/>
      <c r="B1" s="2"/>
      <c r="C1" s="2"/>
      <c r="D1" s="2"/>
      <c r="E1" s="2"/>
      <c r="F1" s="2"/>
      <c r="G1" s="2"/>
      <c r="H1" s="2"/>
      <c r="I1" s="2"/>
      <c r="J1" s="2"/>
      <c r="K1" s="2"/>
      <c r="L1" s="2"/>
      <c r="M1" s="2"/>
      <c r="N1" s="2"/>
      <c r="O1" s="2"/>
      <c r="P1" s="2"/>
      <c r="Q1" s="2"/>
      <c r="R1" s="2"/>
      <c r="S1" s="2"/>
      <c r="T1" s="2"/>
    </row>
    <row r="2" spans="1:20" ht="18" x14ac:dyDescent="0.25">
      <c r="A2" s="3"/>
      <c r="B2" s="423"/>
      <c r="C2" s="531" t="s">
        <v>79</v>
      </c>
      <c r="D2" s="532"/>
      <c r="E2" s="532"/>
      <c r="F2" s="532"/>
      <c r="G2" s="532"/>
      <c r="H2" s="532"/>
      <c r="I2" s="532"/>
      <c r="J2" s="532"/>
      <c r="K2" s="532"/>
      <c r="L2" s="532"/>
      <c r="M2" s="532"/>
      <c r="N2" s="532"/>
      <c r="O2" s="532"/>
      <c r="P2" s="532"/>
      <c r="Q2" s="532"/>
      <c r="R2" s="532"/>
      <c r="S2" s="3"/>
      <c r="T2" s="2"/>
    </row>
    <row r="3" spans="1:20" x14ac:dyDescent="0.2">
      <c r="A3" s="18"/>
      <c r="B3" s="567"/>
      <c r="C3" s="404" t="s">
        <v>79</v>
      </c>
      <c r="D3" s="214"/>
      <c r="E3" s="330"/>
      <c r="F3" s="330"/>
      <c r="G3" s="330"/>
      <c r="H3" s="330"/>
      <c r="I3" s="330"/>
      <c r="J3" s="330"/>
      <c r="K3" s="330">
        <f>'Budget by Month Master'!J3</f>
        <v>9.6923076923076931E-2</v>
      </c>
      <c r="L3" s="330"/>
      <c r="M3" s="330"/>
      <c r="N3" s="330"/>
      <c r="O3" s="330"/>
      <c r="P3" s="330"/>
      <c r="Q3" s="330"/>
      <c r="R3" s="349"/>
      <c r="S3" s="23"/>
      <c r="T3" s="2"/>
    </row>
    <row r="4" spans="1:20" ht="24" customHeight="1" x14ac:dyDescent="0.2">
      <c r="A4" s="18"/>
      <c r="B4" s="568"/>
      <c r="C4" s="146" t="str">
        <f>'Budget by Month Master'!B4</f>
        <v>Acme Widgets</v>
      </c>
      <c r="D4" s="214"/>
      <c r="E4" s="214"/>
      <c r="F4" s="214"/>
      <c r="G4" s="214"/>
      <c r="H4" s="214"/>
      <c r="I4" s="214"/>
      <c r="J4" s="214"/>
      <c r="K4" s="214"/>
      <c r="L4" s="214"/>
      <c r="M4" s="214"/>
      <c r="N4" s="214"/>
      <c r="O4" s="214"/>
      <c r="P4" s="214"/>
      <c r="Q4" s="214"/>
      <c r="R4" s="334"/>
      <c r="S4" s="23"/>
      <c r="T4" s="2"/>
    </row>
    <row r="5" spans="1:20" x14ac:dyDescent="0.2">
      <c r="A5" s="18"/>
      <c r="B5" s="566"/>
      <c r="C5" s="554" t="s">
        <v>167</v>
      </c>
      <c r="D5" s="561" t="s">
        <v>135</v>
      </c>
      <c r="E5" s="560" t="s">
        <v>78</v>
      </c>
      <c r="F5" s="560"/>
      <c r="G5" s="560"/>
      <c r="H5" s="560"/>
      <c r="I5" s="560"/>
      <c r="J5" s="560"/>
      <c r="K5" s="560"/>
      <c r="L5" s="560"/>
      <c r="M5" s="560"/>
      <c r="N5" s="560"/>
      <c r="O5" s="560"/>
      <c r="P5" s="560"/>
      <c r="Q5" s="560"/>
      <c r="R5" s="556" t="str">
        <f>'Budget by Month Master'!Q6</f>
        <v>Variation Year/Year</v>
      </c>
      <c r="S5" s="23"/>
      <c r="T5" s="2"/>
    </row>
    <row r="6" spans="1:20" x14ac:dyDescent="0.2">
      <c r="A6" s="18"/>
      <c r="B6" s="566"/>
      <c r="C6" s="555"/>
      <c r="D6" s="562"/>
      <c r="E6" s="343">
        <v>40179</v>
      </c>
      <c r="F6" s="370">
        <f>+E6+31</f>
        <v>40210</v>
      </c>
      <c r="G6" s="370">
        <f t="shared" ref="G6:P6" si="0">+F6+31</f>
        <v>40241</v>
      </c>
      <c r="H6" s="370">
        <f t="shared" si="0"/>
        <v>40272</v>
      </c>
      <c r="I6" s="370">
        <f t="shared" si="0"/>
        <v>40303</v>
      </c>
      <c r="J6" s="370">
        <f t="shared" si="0"/>
        <v>40334</v>
      </c>
      <c r="K6" s="370">
        <f t="shared" si="0"/>
        <v>40365</v>
      </c>
      <c r="L6" s="370">
        <f t="shared" si="0"/>
        <v>40396</v>
      </c>
      <c r="M6" s="370">
        <f t="shared" si="0"/>
        <v>40427</v>
      </c>
      <c r="N6" s="370">
        <f t="shared" si="0"/>
        <v>40458</v>
      </c>
      <c r="O6" s="370">
        <f t="shared" si="0"/>
        <v>40489</v>
      </c>
      <c r="P6" s="370">
        <f t="shared" si="0"/>
        <v>40520</v>
      </c>
      <c r="Q6" s="375" t="str">
        <f>'Budget by Month Master'!P6</f>
        <v>Full Year</v>
      </c>
      <c r="R6" s="557"/>
      <c r="S6" s="3"/>
      <c r="T6" s="2"/>
    </row>
    <row r="7" spans="1:20" x14ac:dyDescent="0.2">
      <c r="A7" s="18"/>
      <c r="B7" s="346"/>
      <c r="C7" s="356"/>
      <c r="D7" s="316"/>
      <c r="E7" s="331"/>
      <c r="F7" s="331"/>
      <c r="G7" s="331"/>
      <c r="H7" s="331"/>
      <c r="I7" s="331"/>
      <c r="J7" s="331"/>
      <c r="K7" s="331"/>
      <c r="L7" s="331"/>
      <c r="M7" s="331"/>
      <c r="N7" s="331"/>
      <c r="O7" s="331"/>
      <c r="P7" s="331"/>
      <c r="Q7" s="332"/>
      <c r="R7" s="379"/>
      <c r="S7" s="3"/>
      <c r="T7" s="2"/>
    </row>
    <row r="8" spans="1:20" x14ac:dyDescent="0.2">
      <c r="A8" s="18"/>
      <c r="B8" s="347"/>
      <c r="C8" s="357" t="s">
        <v>76</v>
      </c>
      <c r="D8" s="350">
        <v>500000</v>
      </c>
      <c r="E8" s="353">
        <v>32500</v>
      </c>
      <c r="F8" s="353">
        <v>45000</v>
      </c>
      <c r="G8" s="353">
        <v>52500</v>
      </c>
      <c r="H8" s="353">
        <v>36500</v>
      </c>
      <c r="I8" s="353">
        <v>46000</v>
      </c>
      <c r="J8" s="353">
        <v>41500</v>
      </c>
      <c r="K8" s="353">
        <v>45000</v>
      </c>
      <c r="L8" s="353">
        <v>44500</v>
      </c>
      <c r="M8" s="353">
        <v>42500</v>
      </c>
      <c r="N8" s="353">
        <v>42500</v>
      </c>
      <c r="O8" s="353">
        <v>39500</v>
      </c>
      <c r="P8" s="353">
        <v>32000.000000000084</v>
      </c>
      <c r="Q8" s="376">
        <f>SUM(E8:P8)</f>
        <v>500000.00000000006</v>
      </c>
      <c r="R8" s="380"/>
      <c r="S8" s="53"/>
      <c r="T8" s="2"/>
    </row>
    <row r="9" spans="1:20" x14ac:dyDescent="0.2">
      <c r="A9" s="18"/>
      <c r="B9" s="346"/>
      <c r="C9" s="314"/>
      <c r="D9" s="338"/>
      <c r="E9" s="371">
        <f>+E8/$Q8</f>
        <v>6.4999999999999988E-2</v>
      </c>
      <c r="F9" s="371">
        <f t="shared" ref="F9:Q9" si="1">+F8/$Q8</f>
        <v>8.9999999999999983E-2</v>
      </c>
      <c r="G9" s="371">
        <f t="shared" si="1"/>
        <v>0.10499999999999998</v>
      </c>
      <c r="H9" s="371">
        <f t="shared" si="1"/>
        <v>7.2999999999999995E-2</v>
      </c>
      <c r="I9" s="371">
        <f t="shared" si="1"/>
        <v>9.1999999999999985E-2</v>
      </c>
      <c r="J9" s="371">
        <f t="shared" si="1"/>
        <v>8.299999999999999E-2</v>
      </c>
      <c r="K9" s="371">
        <f t="shared" si="1"/>
        <v>8.9999999999999983E-2</v>
      </c>
      <c r="L9" s="371">
        <f t="shared" si="1"/>
        <v>8.8999999999999996E-2</v>
      </c>
      <c r="M9" s="371">
        <f t="shared" si="1"/>
        <v>8.4999999999999992E-2</v>
      </c>
      <c r="N9" s="371">
        <f t="shared" si="1"/>
        <v>8.4999999999999992E-2</v>
      </c>
      <c r="O9" s="371">
        <f t="shared" si="1"/>
        <v>7.8999999999999987E-2</v>
      </c>
      <c r="P9" s="371">
        <f t="shared" si="1"/>
        <v>6.4000000000000154E-2</v>
      </c>
      <c r="Q9" s="190">
        <f t="shared" si="1"/>
        <v>1</v>
      </c>
      <c r="R9" s="381"/>
      <c r="S9" s="53"/>
      <c r="T9" s="2"/>
    </row>
    <row r="10" spans="1:20" x14ac:dyDescent="0.2">
      <c r="A10" s="18"/>
      <c r="B10" s="347"/>
      <c r="C10" s="358" t="s">
        <v>81</v>
      </c>
      <c r="D10" s="351"/>
      <c r="E10" s="353">
        <v>615.89237309205998</v>
      </c>
      <c r="F10" s="353">
        <v>1705.5481101010889</v>
      </c>
      <c r="G10" s="353">
        <v>2984.7091926769058</v>
      </c>
      <c r="H10" s="353">
        <v>2766.7780452750994</v>
      </c>
      <c r="I10" s="353">
        <v>4358.6229480361153</v>
      </c>
      <c r="J10" s="353">
        <v>4718.6831046130128</v>
      </c>
      <c r="K10" s="353">
        <v>5969.4183853538116</v>
      </c>
      <c r="L10" s="353">
        <v>6746.3903021776396</v>
      </c>
      <c r="M10" s="353">
        <v>7248.5794679296287</v>
      </c>
      <c r="N10" s="353">
        <v>8053.9771865884768</v>
      </c>
      <c r="O10" s="353">
        <v>8234.0072648769237</v>
      </c>
      <c r="P10" s="353">
        <v>7277.0052697646661</v>
      </c>
      <c r="Q10" s="47">
        <f>SUM(E10:P10)</f>
        <v>60679.611650485436</v>
      </c>
      <c r="R10" s="382"/>
      <c r="S10" s="53"/>
      <c r="T10" s="2"/>
    </row>
    <row r="11" spans="1:20" x14ac:dyDescent="0.2">
      <c r="A11" s="18"/>
      <c r="B11" s="346"/>
      <c r="C11" s="314"/>
      <c r="D11" s="339"/>
      <c r="E11" s="371">
        <f>+E10/$Q10</f>
        <v>1.0149906308557149E-2</v>
      </c>
      <c r="F11" s="371">
        <f t="shared" ref="F11:Q11" si="2">+F10/$Q10</f>
        <v>2.8107432854465944E-2</v>
      </c>
      <c r="G11" s="371">
        <f t="shared" si="2"/>
        <v>4.9188007495315406E-2</v>
      </c>
      <c r="H11" s="371">
        <f t="shared" si="2"/>
        <v>4.559650218613364E-2</v>
      </c>
      <c r="I11" s="371">
        <f t="shared" si="2"/>
        <v>7.1830106183635181E-2</v>
      </c>
      <c r="J11" s="371">
        <f t="shared" si="2"/>
        <v>7.7763897564022452E-2</v>
      </c>
      <c r="K11" s="371">
        <f t="shared" si="2"/>
        <v>9.8376014990630811E-2</v>
      </c>
      <c r="L11" s="371">
        <f t="shared" si="2"/>
        <v>0.1111805121798875</v>
      </c>
      <c r="M11" s="371">
        <f t="shared" si="2"/>
        <v>0.11945658963148029</v>
      </c>
      <c r="N11" s="371">
        <f t="shared" si="2"/>
        <v>0.13272954403497811</v>
      </c>
      <c r="O11" s="371">
        <f t="shared" si="2"/>
        <v>0.1356964397251717</v>
      </c>
      <c r="P11" s="371">
        <f t="shared" si="2"/>
        <v>0.11992504684572169</v>
      </c>
      <c r="Q11" s="190">
        <f t="shared" si="2"/>
        <v>1</v>
      </c>
      <c r="R11" s="383"/>
      <c r="S11" s="53"/>
      <c r="T11" s="2"/>
    </row>
    <row r="12" spans="1:20" x14ac:dyDescent="0.2">
      <c r="A12" s="18"/>
      <c r="B12" s="346"/>
      <c r="C12" s="359" t="str">
        <f>'Budget by Month Master'!B12</f>
        <v>Total Revenue</v>
      </c>
      <c r="D12" s="322">
        <f>+D8+D10</f>
        <v>500000</v>
      </c>
      <c r="E12" s="52">
        <f t="shared" ref="E12:P12" si="3">+E8+E10</f>
        <v>33115.892373092058</v>
      </c>
      <c r="F12" s="52">
        <f t="shared" si="3"/>
        <v>46705.548110101088</v>
      </c>
      <c r="G12" s="52">
        <f t="shared" si="3"/>
        <v>55484.709192676906</v>
      </c>
      <c r="H12" s="52">
        <f t="shared" si="3"/>
        <v>39266.778045275103</v>
      </c>
      <c r="I12" s="52">
        <f t="shared" si="3"/>
        <v>50358.622948036114</v>
      </c>
      <c r="J12" s="52">
        <f t="shared" si="3"/>
        <v>46218.68310461301</v>
      </c>
      <c r="K12" s="52">
        <f t="shared" si="3"/>
        <v>50969.418385353812</v>
      </c>
      <c r="L12" s="52">
        <f t="shared" si="3"/>
        <v>51246.390302177642</v>
      </c>
      <c r="M12" s="52">
        <f t="shared" si="3"/>
        <v>49748.57946792963</v>
      </c>
      <c r="N12" s="52">
        <f t="shared" si="3"/>
        <v>50553.977186588476</v>
      </c>
      <c r="O12" s="52">
        <f t="shared" si="3"/>
        <v>47734.007264876927</v>
      </c>
      <c r="P12" s="52">
        <f t="shared" si="3"/>
        <v>39277.005269764748</v>
      </c>
      <c r="Q12" s="279">
        <f>+Q8+Q10</f>
        <v>560679.61165048555</v>
      </c>
      <c r="R12" s="384">
        <f>+Q12-$D$12</f>
        <v>60679.611650485545</v>
      </c>
      <c r="S12" s="53"/>
      <c r="T12" s="2"/>
    </row>
    <row r="13" spans="1:20" x14ac:dyDescent="0.2">
      <c r="A13" s="18"/>
      <c r="B13" s="346"/>
      <c r="C13" s="359"/>
      <c r="D13" s="341"/>
      <c r="E13" s="371">
        <f>+E12/$Q12</f>
        <v>5.9063842674086257E-2</v>
      </c>
      <c r="F13" s="371">
        <f t="shared" ref="F13:Q13" si="4">+F12/$Q12</f>
        <v>8.3301670222344776E-2</v>
      </c>
      <c r="G13" s="371">
        <f t="shared" si="4"/>
        <v>9.8959741070921564E-2</v>
      </c>
      <c r="H13" s="371">
        <f t="shared" si="4"/>
        <v>7.0034253483347783E-2</v>
      </c>
      <c r="I13" s="371">
        <f t="shared" si="4"/>
        <v>8.9817111058834956E-2</v>
      </c>
      <c r="J13" s="371">
        <f t="shared" si="4"/>
        <v>8.2433322247188551E-2</v>
      </c>
      <c r="K13" s="371">
        <f t="shared" si="4"/>
        <v>9.0906495128856138E-2</v>
      </c>
      <c r="L13" s="371">
        <f t="shared" si="4"/>
        <v>9.1400488331156646E-2</v>
      </c>
      <c r="M13" s="371">
        <f t="shared" si="4"/>
        <v>8.8729068141935083E-2</v>
      </c>
      <c r="N13" s="371">
        <f t="shared" si="4"/>
        <v>9.0165535068720548E-2</v>
      </c>
      <c r="O13" s="371">
        <f t="shared" si="4"/>
        <v>8.5135978325235021E-2</v>
      </c>
      <c r="P13" s="371">
        <f t="shared" si="4"/>
        <v>7.0052494247372615E-2</v>
      </c>
      <c r="Q13" s="190">
        <f t="shared" si="4"/>
        <v>1</v>
      </c>
      <c r="R13" s="383">
        <f>+R12/$D$12</f>
        <v>0.1213592233009711</v>
      </c>
      <c r="S13" s="53"/>
      <c r="T13" s="2"/>
    </row>
    <row r="14" spans="1:20" x14ac:dyDescent="0.2">
      <c r="A14" s="18"/>
      <c r="B14" s="346"/>
      <c r="C14" s="360"/>
      <c r="D14" s="342"/>
      <c r="E14" s="372"/>
      <c r="F14" s="372"/>
      <c r="G14" s="372"/>
      <c r="H14" s="372"/>
      <c r="I14" s="372"/>
      <c r="J14" s="372"/>
      <c r="K14" s="372"/>
      <c r="L14" s="372"/>
      <c r="M14" s="372"/>
      <c r="N14" s="372"/>
      <c r="O14" s="372"/>
      <c r="P14" s="372"/>
      <c r="Q14" s="270"/>
      <c r="R14" s="382"/>
      <c r="S14" s="53"/>
      <c r="T14" s="2"/>
    </row>
    <row r="15" spans="1:20" x14ac:dyDescent="0.2">
      <c r="A15" s="18"/>
      <c r="B15" s="346"/>
      <c r="C15" s="333" t="str">
        <f>'Budget by Month Master'!B15</f>
        <v>Expenses</v>
      </c>
      <c r="D15" s="318"/>
      <c r="E15" s="373"/>
      <c r="F15" s="373"/>
      <c r="G15" s="373"/>
      <c r="H15" s="373"/>
      <c r="I15" s="373"/>
      <c r="J15" s="373"/>
      <c r="K15" s="373"/>
      <c r="L15" s="373"/>
      <c r="M15" s="373"/>
      <c r="N15" s="373"/>
      <c r="O15" s="373"/>
      <c r="P15" s="373"/>
      <c r="Q15" s="305"/>
      <c r="R15" s="385"/>
      <c r="S15" s="53"/>
      <c r="T15" s="2"/>
    </row>
    <row r="16" spans="1:20" x14ac:dyDescent="0.2">
      <c r="A16" s="18"/>
      <c r="B16" s="346"/>
      <c r="C16" s="333" t="str">
        <f>'Budget by Month Master'!B16</f>
        <v>Variable Costs</v>
      </c>
      <c r="D16" s="319"/>
      <c r="E16" s="39"/>
      <c r="F16" s="39"/>
      <c r="G16" s="39"/>
      <c r="H16" s="39"/>
      <c r="I16" s="39"/>
      <c r="J16" s="39"/>
      <c r="K16" s="39"/>
      <c r="L16" s="39"/>
      <c r="M16" s="39"/>
      <c r="N16" s="39"/>
      <c r="O16" s="39"/>
      <c r="P16" s="39"/>
      <c r="Q16" s="54"/>
      <c r="R16" s="386"/>
      <c r="S16" s="53"/>
      <c r="T16" s="2"/>
    </row>
    <row r="17" spans="1:20" x14ac:dyDescent="0.2">
      <c r="A17" s="18"/>
      <c r="B17" s="347"/>
      <c r="C17" s="361" t="s">
        <v>108</v>
      </c>
      <c r="D17" s="352">
        <v>10000</v>
      </c>
      <c r="E17" s="353">
        <v>675.17838818925566</v>
      </c>
      <c r="F17" s="353">
        <v>952.24903913798357</v>
      </c>
      <c r="G17" s="353">
        <v>1131.2416437341894</v>
      </c>
      <c r="H17" s="353">
        <v>800.58479509784195</v>
      </c>
      <c r="I17" s="353">
        <v>1026.7292057366587</v>
      </c>
      <c r="J17" s="353">
        <v>942.32266523968292</v>
      </c>
      <c r="K17" s="353">
        <v>1039.1823165945925</v>
      </c>
      <c r="L17" s="353">
        <v>1044.8293168405153</v>
      </c>
      <c r="M17" s="353">
        <v>1014.2914260451673</v>
      </c>
      <c r="N17" s="353">
        <v>1030.7121562314157</v>
      </c>
      <c r="O17" s="353">
        <v>973.21762384700537</v>
      </c>
      <c r="P17" s="353">
        <v>800.79331132530081</v>
      </c>
      <c r="Q17" s="376">
        <f>SUM(E17:P17)</f>
        <v>11431.331888019608</v>
      </c>
      <c r="R17" s="384">
        <f>+Q17-D17</f>
        <v>1431.3318880196075</v>
      </c>
      <c r="S17" s="55"/>
      <c r="T17" s="2"/>
    </row>
    <row r="18" spans="1:20" x14ac:dyDescent="0.2">
      <c r="A18" s="18"/>
      <c r="B18" s="346"/>
      <c r="C18" s="362" t="str">
        <f>'Budget by Month Master'!B18</f>
        <v>% Revenue</v>
      </c>
      <c r="D18" s="321">
        <f>+D17/D$12</f>
        <v>0.02</v>
      </c>
      <c r="E18" s="35">
        <f>+E17/E$12</f>
        <v>2.0388349514563111E-2</v>
      </c>
      <c r="F18" s="35">
        <f t="shared" ref="F18:Q18" si="5">+F17/F$12</f>
        <v>2.0388349514563111E-2</v>
      </c>
      <c r="G18" s="35">
        <f t="shared" si="5"/>
        <v>2.0388349514563107E-2</v>
      </c>
      <c r="H18" s="35">
        <f t="shared" si="5"/>
        <v>2.0388349514563107E-2</v>
      </c>
      <c r="I18" s="35">
        <f t="shared" si="5"/>
        <v>2.0388349514563107E-2</v>
      </c>
      <c r="J18" s="35">
        <f t="shared" si="5"/>
        <v>2.0388349514563111E-2</v>
      </c>
      <c r="K18" s="35">
        <f t="shared" si="5"/>
        <v>2.0388349514563111E-2</v>
      </c>
      <c r="L18" s="35">
        <f t="shared" si="5"/>
        <v>2.0388349514563111E-2</v>
      </c>
      <c r="M18" s="35">
        <f t="shared" si="5"/>
        <v>2.0388349514563107E-2</v>
      </c>
      <c r="N18" s="35">
        <f t="shared" si="5"/>
        <v>2.0388349514563111E-2</v>
      </c>
      <c r="O18" s="35">
        <f t="shared" si="5"/>
        <v>2.0388349514563107E-2</v>
      </c>
      <c r="P18" s="35">
        <f t="shared" si="5"/>
        <v>2.0388349514563111E-2</v>
      </c>
      <c r="Q18" s="272">
        <f t="shared" si="5"/>
        <v>2.0388349514563104E-2</v>
      </c>
      <c r="R18" s="383">
        <f>+R17/D17</f>
        <v>0.14313318880196074</v>
      </c>
      <c r="S18" s="55"/>
      <c r="T18" s="2"/>
    </row>
    <row r="19" spans="1:20" x14ac:dyDescent="0.2">
      <c r="A19" s="18"/>
      <c r="B19" s="346"/>
      <c r="C19" s="361" t="s">
        <v>159</v>
      </c>
      <c r="D19" s="352">
        <v>200000</v>
      </c>
      <c r="E19" s="353">
        <v>13140.403630743918</v>
      </c>
      <c r="F19" s="353">
        <v>18532.786223829386</v>
      </c>
      <c r="G19" s="353">
        <v>22016.361990554029</v>
      </c>
      <c r="H19" s="353">
        <v>15581.078322775418</v>
      </c>
      <c r="I19" s="353">
        <v>19982.328254071785</v>
      </c>
      <c r="J19" s="353">
        <v>18339.597931823824</v>
      </c>
      <c r="K19" s="353">
        <v>20224.692207056873</v>
      </c>
      <c r="L19" s="353">
        <v>20334.594810327897</v>
      </c>
      <c r="M19" s="353">
        <v>19740.262678106319</v>
      </c>
      <c r="N19" s="353">
        <v>20059.844919382624</v>
      </c>
      <c r="O19" s="353">
        <v>18940.879361083</v>
      </c>
      <c r="P19" s="353">
        <v>15585.136490868919</v>
      </c>
      <c r="Q19" s="376">
        <f>SUM(E19:P19)</f>
        <v>222477.96682062399</v>
      </c>
      <c r="R19" s="384">
        <f>+Q19-D19</f>
        <v>22477.966820623988</v>
      </c>
      <c r="S19" s="55"/>
      <c r="T19" s="2"/>
    </row>
    <row r="20" spans="1:20" x14ac:dyDescent="0.2">
      <c r="A20" s="18"/>
      <c r="B20" s="346"/>
      <c r="C20" s="362" t="str">
        <f>'Budget by Month Master'!B20</f>
        <v>% Revenue</v>
      </c>
      <c r="D20" s="321">
        <f>+D19/D$12</f>
        <v>0.4</v>
      </c>
      <c r="E20" s="35">
        <f t="shared" ref="E20:Q20" si="6">+E19/E$12</f>
        <v>0.39680052956751977</v>
      </c>
      <c r="F20" s="35">
        <f t="shared" si="6"/>
        <v>0.39680052956751982</v>
      </c>
      <c r="G20" s="35">
        <f t="shared" si="6"/>
        <v>0.39680052956751977</v>
      </c>
      <c r="H20" s="35">
        <f t="shared" si="6"/>
        <v>0.39680052956751971</v>
      </c>
      <c r="I20" s="35">
        <f t="shared" si="6"/>
        <v>0.39680052956751977</v>
      </c>
      <c r="J20" s="35">
        <f t="shared" si="6"/>
        <v>0.39680052956751982</v>
      </c>
      <c r="K20" s="35">
        <f t="shared" si="6"/>
        <v>0.39680052956751982</v>
      </c>
      <c r="L20" s="35">
        <f t="shared" si="6"/>
        <v>0.39680052956751977</v>
      </c>
      <c r="M20" s="35">
        <f t="shared" si="6"/>
        <v>0.39680052956751977</v>
      </c>
      <c r="N20" s="35">
        <f t="shared" si="6"/>
        <v>0.39680052956751982</v>
      </c>
      <c r="O20" s="35">
        <f t="shared" si="6"/>
        <v>0.39680052956751977</v>
      </c>
      <c r="P20" s="35">
        <f t="shared" si="6"/>
        <v>0.39680052956751982</v>
      </c>
      <c r="Q20" s="272">
        <f t="shared" si="6"/>
        <v>0.39680052956751977</v>
      </c>
      <c r="R20" s="383">
        <f>+R19/D19</f>
        <v>0.11238983410311994</v>
      </c>
      <c r="S20" s="54"/>
      <c r="T20" s="2"/>
    </row>
    <row r="21" spans="1:20" x14ac:dyDescent="0.2">
      <c r="A21" s="18"/>
      <c r="B21" s="346"/>
      <c r="C21" s="361" t="s">
        <v>161</v>
      </c>
      <c r="D21" s="352">
        <v>50000</v>
      </c>
      <c r="E21" s="353">
        <v>2935.272278524069</v>
      </c>
      <c r="F21" s="353">
        <v>4139.8099461225975</v>
      </c>
      <c r="G21" s="353">
        <v>4917.9628602599987</v>
      </c>
      <c r="H21" s="353">
        <v>3480.4644176493839</v>
      </c>
      <c r="I21" s="353">
        <v>4463.6052158486555</v>
      </c>
      <c r="J21" s="353">
        <v>4096.656002454336</v>
      </c>
      <c r="K21" s="353">
        <v>4517.7439023381794</v>
      </c>
      <c r="L21" s="353">
        <v>4542.2936858748371</v>
      </c>
      <c r="M21" s="353">
        <v>4409.5331801119446</v>
      </c>
      <c r="N21" s="353">
        <v>4480.9207051748881</v>
      </c>
      <c r="O21" s="353">
        <v>4230.9688257504549</v>
      </c>
      <c r="P21" s="353">
        <v>3481.3709216382395</v>
      </c>
      <c r="Q21" s="376">
        <f>SUM(E21:P21)</f>
        <v>49696.601941747584</v>
      </c>
      <c r="R21" s="384">
        <f>+Q21-D21</f>
        <v>-303.39805825241638</v>
      </c>
      <c r="S21" s="55"/>
      <c r="T21" s="2"/>
    </row>
    <row r="22" spans="1:20" x14ac:dyDescent="0.2">
      <c r="A22" s="18"/>
      <c r="B22" s="346"/>
      <c r="C22" s="362" t="str">
        <f>'Budget by Month Master'!B22</f>
        <v>% Revenue</v>
      </c>
      <c r="D22" s="321">
        <f>+D21/D$12</f>
        <v>0.1</v>
      </c>
      <c r="E22" s="35">
        <f t="shared" ref="E22:Q22" si="7">+E21/E$12</f>
        <v>8.8636363636363638E-2</v>
      </c>
      <c r="F22" s="35">
        <f t="shared" si="7"/>
        <v>8.8636363636363652E-2</v>
      </c>
      <c r="G22" s="35">
        <f t="shared" si="7"/>
        <v>8.8636363636363638E-2</v>
      </c>
      <c r="H22" s="35">
        <f t="shared" si="7"/>
        <v>8.8636363636363624E-2</v>
      </c>
      <c r="I22" s="35">
        <f t="shared" si="7"/>
        <v>8.8636363636363638E-2</v>
      </c>
      <c r="J22" s="35">
        <f t="shared" si="7"/>
        <v>8.8636363636363652E-2</v>
      </c>
      <c r="K22" s="35">
        <f t="shared" si="7"/>
        <v>8.8636363636363652E-2</v>
      </c>
      <c r="L22" s="35">
        <f t="shared" si="7"/>
        <v>8.8636363636363652E-2</v>
      </c>
      <c r="M22" s="35">
        <f t="shared" si="7"/>
        <v>8.8636363636363638E-2</v>
      </c>
      <c r="N22" s="35">
        <f t="shared" si="7"/>
        <v>8.8636363636363652E-2</v>
      </c>
      <c r="O22" s="35">
        <f t="shared" si="7"/>
        <v>8.8636363636363638E-2</v>
      </c>
      <c r="P22" s="35">
        <f t="shared" si="7"/>
        <v>8.8636363636363652E-2</v>
      </c>
      <c r="Q22" s="272">
        <f t="shared" si="7"/>
        <v>8.8636363636363638E-2</v>
      </c>
      <c r="R22" s="383">
        <f>+R21/D21</f>
        <v>-6.0679611650483276E-3</v>
      </c>
      <c r="S22" s="54"/>
      <c r="T22" s="2"/>
    </row>
    <row r="23" spans="1:20" x14ac:dyDescent="0.2">
      <c r="A23" s="18"/>
      <c r="B23" s="346"/>
      <c r="C23" s="361" t="s">
        <v>109</v>
      </c>
      <c r="D23" s="352">
        <v>20000</v>
      </c>
      <c r="E23" s="353">
        <v>1286.0540727414391</v>
      </c>
      <c r="F23" s="353">
        <v>1813.8076935961587</v>
      </c>
      <c r="G23" s="353">
        <v>2154.7459880651222</v>
      </c>
      <c r="H23" s="353">
        <v>1524.9234192339843</v>
      </c>
      <c r="I23" s="353">
        <v>1955.6746775936354</v>
      </c>
      <c r="J23" s="353">
        <v>1794.9003147422529</v>
      </c>
      <c r="K23" s="353">
        <v>1979.3948887516044</v>
      </c>
      <c r="L23" s="353">
        <v>1990.1510796962191</v>
      </c>
      <c r="M23" s="353">
        <v>1931.9836686574613</v>
      </c>
      <c r="N23" s="353">
        <v>1963.2612499646011</v>
      </c>
      <c r="O23" s="353">
        <v>1853.7478549466766</v>
      </c>
      <c r="P23" s="353">
        <v>1525.3205930005729</v>
      </c>
      <c r="Q23" s="376">
        <f>SUM(E23:P23)</f>
        <v>21773.965500989729</v>
      </c>
      <c r="R23" s="384">
        <f>+Q23-D23</f>
        <v>1773.9655009897288</v>
      </c>
      <c r="S23" s="55"/>
      <c r="T23" s="2"/>
    </row>
    <row r="24" spans="1:20" x14ac:dyDescent="0.2">
      <c r="A24" s="18"/>
      <c r="B24" s="346"/>
      <c r="C24" s="362" t="str">
        <f>'Budget by Month Master'!B24</f>
        <v>% Revenue</v>
      </c>
      <c r="D24" s="321">
        <f>+D23/D$12</f>
        <v>0.04</v>
      </c>
      <c r="E24" s="35">
        <f t="shared" ref="E24:Q24" si="8">+E23/E$12</f>
        <v>3.8834951456310676E-2</v>
      </c>
      <c r="F24" s="35">
        <f t="shared" si="8"/>
        <v>3.8834951456310676E-2</v>
      </c>
      <c r="G24" s="35">
        <f t="shared" si="8"/>
        <v>3.8834951456310676E-2</v>
      </c>
      <c r="H24" s="35">
        <f t="shared" si="8"/>
        <v>3.8834951456310669E-2</v>
      </c>
      <c r="I24" s="35">
        <f t="shared" si="8"/>
        <v>3.8834951456310676E-2</v>
      </c>
      <c r="J24" s="35">
        <f t="shared" si="8"/>
        <v>3.8834951456310683E-2</v>
      </c>
      <c r="K24" s="35">
        <f t="shared" si="8"/>
        <v>3.8834951456310683E-2</v>
      </c>
      <c r="L24" s="35">
        <f t="shared" si="8"/>
        <v>3.8834951456310676E-2</v>
      </c>
      <c r="M24" s="35">
        <f t="shared" si="8"/>
        <v>3.8834951456310676E-2</v>
      </c>
      <c r="N24" s="35">
        <f t="shared" si="8"/>
        <v>3.8834951456310683E-2</v>
      </c>
      <c r="O24" s="35">
        <f t="shared" si="8"/>
        <v>3.8834951456310676E-2</v>
      </c>
      <c r="P24" s="35">
        <f t="shared" si="8"/>
        <v>3.8834951456310683E-2</v>
      </c>
      <c r="Q24" s="272">
        <f t="shared" si="8"/>
        <v>3.8834951456310676E-2</v>
      </c>
      <c r="R24" s="383">
        <f>+R23/D23</f>
        <v>8.8698275049486436E-2</v>
      </c>
      <c r="S24" s="54"/>
      <c r="T24" s="2"/>
    </row>
    <row r="25" spans="1:20" x14ac:dyDescent="0.2">
      <c r="A25" s="18"/>
      <c r="B25" s="346"/>
      <c r="C25" s="361" t="s">
        <v>110</v>
      </c>
      <c r="D25" s="352">
        <v>10000</v>
      </c>
      <c r="E25" s="353">
        <v>643.02703637071954</v>
      </c>
      <c r="F25" s="353">
        <v>906.90384679807937</v>
      </c>
      <c r="G25" s="353">
        <v>1077.3729940325611</v>
      </c>
      <c r="H25" s="353">
        <v>762.46170961699215</v>
      </c>
      <c r="I25" s="353">
        <v>977.83733879681768</v>
      </c>
      <c r="J25" s="353">
        <v>897.45015737112647</v>
      </c>
      <c r="K25" s="353">
        <v>989.69744437580221</v>
      </c>
      <c r="L25" s="353">
        <v>995.07553984810954</v>
      </c>
      <c r="M25" s="353">
        <v>965.99183432873065</v>
      </c>
      <c r="N25" s="353">
        <v>981.63062498230056</v>
      </c>
      <c r="O25" s="353">
        <v>926.87392747333831</v>
      </c>
      <c r="P25" s="353">
        <v>762.66029650028645</v>
      </c>
      <c r="Q25" s="376">
        <f>SUM(E25:P25)</f>
        <v>10886.982750494864</v>
      </c>
      <c r="R25" s="384">
        <f>+Q25-D25</f>
        <v>886.98275049486438</v>
      </c>
      <c r="S25" s="55"/>
      <c r="T25" s="2"/>
    </row>
    <row r="26" spans="1:20" x14ac:dyDescent="0.2">
      <c r="A26" s="18"/>
      <c r="B26" s="346"/>
      <c r="C26" s="362" t="str">
        <f>'Budget by Month Master'!B26</f>
        <v>% Revenue</v>
      </c>
      <c r="D26" s="321">
        <f>+D25/D$12</f>
        <v>0.02</v>
      </c>
      <c r="E26" s="35">
        <f t="shared" ref="E26:Q26" si="9">+E25/E$12</f>
        <v>1.9417475728155338E-2</v>
      </c>
      <c r="F26" s="35">
        <f t="shared" si="9"/>
        <v>1.9417475728155338E-2</v>
      </c>
      <c r="G26" s="35">
        <f t="shared" si="9"/>
        <v>1.9417475728155338E-2</v>
      </c>
      <c r="H26" s="35">
        <f t="shared" si="9"/>
        <v>1.9417475728155335E-2</v>
      </c>
      <c r="I26" s="35">
        <f t="shared" si="9"/>
        <v>1.9417475728155338E-2</v>
      </c>
      <c r="J26" s="35">
        <f t="shared" si="9"/>
        <v>1.9417475728155342E-2</v>
      </c>
      <c r="K26" s="35">
        <f t="shared" si="9"/>
        <v>1.9417475728155342E-2</v>
      </c>
      <c r="L26" s="35">
        <f t="shared" si="9"/>
        <v>1.9417475728155338E-2</v>
      </c>
      <c r="M26" s="35">
        <f t="shared" si="9"/>
        <v>1.9417475728155338E-2</v>
      </c>
      <c r="N26" s="35">
        <f t="shared" si="9"/>
        <v>1.9417475728155342E-2</v>
      </c>
      <c r="O26" s="35">
        <f t="shared" si="9"/>
        <v>1.9417475728155338E-2</v>
      </c>
      <c r="P26" s="35">
        <f t="shared" si="9"/>
        <v>1.9417475728155342E-2</v>
      </c>
      <c r="Q26" s="272">
        <f t="shared" si="9"/>
        <v>1.9417475728155338E-2</v>
      </c>
      <c r="R26" s="383">
        <f>+R25/D25</f>
        <v>8.8698275049486436E-2</v>
      </c>
      <c r="S26" s="54"/>
      <c r="T26" s="2"/>
    </row>
    <row r="27" spans="1:20" x14ac:dyDescent="0.2">
      <c r="A27" s="18"/>
      <c r="B27" s="346"/>
      <c r="C27" s="361" t="s">
        <v>111</v>
      </c>
      <c r="D27" s="352">
        <v>20000</v>
      </c>
      <c r="E27" s="353">
        <v>1286.0540727414391</v>
      </c>
      <c r="F27" s="353">
        <v>1813.8076935961587</v>
      </c>
      <c r="G27" s="353">
        <v>2154.7459880651222</v>
      </c>
      <c r="H27" s="353">
        <v>1524.9234192339843</v>
      </c>
      <c r="I27" s="353">
        <v>1955.6746775936354</v>
      </c>
      <c r="J27" s="353">
        <v>1794.9003147422529</v>
      </c>
      <c r="K27" s="353">
        <v>1979.3948887516044</v>
      </c>
      <c r="L27" s="353">
        <v>1990.1510796962191</v>
      </c>
      <c r="M27" s="353">
        <v>1931.9836686574613</v>
      </c>
      <c r="N27" s="353">
        <v>1963.2612499646011</v>
      </c>
      <c r="O27" s="353">
        <v>1853.7478549466766</v>
      </c>
      <c r="P27" s="353">
        <v>1525.3205930005729</v>
      </c>
      <c r="Q27" s="376">
        <f>SUM(E27:P27)</f>
        <v>21773.965500989729</v>
      </c>
      <c r="R27" s="384">
        <f>+Q27-D27</f>
        <v>1773.9655009897288</v>
      </c>
      <c r="S27" s="55"/>
      <c r="T27" s="2"/>
    </row>
    <row r="28" spans="1:20" x14ac:dyDescent="0.2">
      <c r="A28" s="18"/>
      <c r="B28" s="346"/>
      <c r="C28" s="362" t="str">
        <f>'Budget by Month Master'!B28</f>
        <v>% Revenue</v>
      </c>
      <c r="D28" s="321">
        <f>+D27/D$12</f>
        <v>0.04</v>
      </c>
      <c r="E28" s="35">
        <f t="shared" ref="E28:Q28" si="10">+E27/E$12</f>
        <v>3.8834951456310676E-2</v>
      </c>
      <c r="F28" s="35">
        <f t="shared" si="10"/>
        <v>3.8834951456310676E-2</v>
      </c>
      <c r="G28" s="35">
        <f t="shared" si="10"/>
        <v>3.8834951456310676E-2</v>
      </c>
      <c r="H28" s="35">
        <f t="shared" si="10"/>
        <v>3.8834951456310669E-2</v>
      </c>
      <c r="I28" s="35">
        <f t="shared" si="10"/>
        <v>3.8834951456310676E-2</v>
      </c>
      <c r="J28" s="35">
        <f t="shared" si="10"/>
        <v>3.8834951456310683E-2</v>
      </c>
      <c r="K28" s="35">
        <f t="shared" si="10"/>
        <v>3.8834951456310683E-2</v>
      </c>
      <c r="L28" s="35">
        <f t="shared" si="10"/>
        <v>3.8834951456310676E-2</v>
      </c>
      <c r="M28" s="35">
        <f t="shared" si="10"/>
        <v>3.8834951456310676E-2</v>
      </c>
      <c r="N28" s="35">
        <f t="shared" si="10"/>
        <v>3.8834951456310683E-2</v>
      </c>
      <c r="O28" s="35">
        <f t="shared" si="10"/>
        <v>3.8834951456310676E-2</v>
      </c>
      <c r="P28" s="35">
        <f t="shared" si="10"/>
        <v>3.8834951456310683E-2</v>
      </c>
      <c r="Q28" s="272">
        <f t="shared" si="10"/>
        <v>3.8834951456310676E-2</v>
      </c>
      <c r="R28" s="383">
        <f>+R27/D27</f>
        <v>8.8698275049486436E-2</v>
      </c>
      <c r="S28" s="54"/>
      <c r="T28" s="2"/>
    </row>
    <row r="29" spans="1:20" x14ac:dyDescent="0.2">
      <c r="A29" s="18"/>
      <c r="B29" s="346"/>
      <c r="C29" s="363" t="str">
        <f>'Budget by Month Master'!B29</f>
        <v>Total Variable Costs</v>
      </c>
      <c r="D29" s="322">
        <f>+D17+D19+D21+D23+D25+D27</f>
        <v>310000</v>
      </c>
      <c r="E29" s="52">
        <f t="shared" ref="E29:Q29" si="11">+E17+E19+E21+E23+E25+E27</f>
        <v>19965.98947931084</v>
      </c>
      <c r="F29" s="52">
        <f t="shared" si="11"/>
        <v>28159.364443080362</v>
      </c>
      <c r="G29" s="52">
        <f t="shared" si="11"/>
        <v>33452.431464711022</v>
      </c>
      <c r="H29" s="52">
        <f t="shared" si="11"/>
        <v>23674.436083607605</v>
      </c>
      <c r="I29" s="52">
        <f t="shared" si="11"/>
        <v>30361.849369641182</v>
      </c>
      <c r="J29" s="52">
        <f t="shared" si="11"/>
        <v>27865.827386373476</v>
      </c>
      <c r="K29" s="52">
        <f t="shared" si="11"/>
        <v>30730.105647868659</v>
      </c>
      <c r="L29" s="52">
        <f t="shared" si="11"/>
        <v>30897.095512283791</v>
      </c>
      <c r="M29" s="52">
        <f t="shared" si="11"/>
        <v>29994.046455907086</v>
      </c>
      <c r="N29" s="52">
        <f t="shared" si="11"/>
        <v>30479.630905700433</v>
      </c>
      <c r="O29" s="52">
        <f t="shared" si="11"/>
        <v>28779.435448047152</v>
      </c>
      <c r="P29" s="52">
        <f t="shared" si="11"/>
        <v>23680.602206333886</v>
      </c>
      <c r="Q29" s="279">
        <f t="shared" si="11"/>
        <v>338040.81440286554</v>
      </c>
      <c r="R29" s="387">
        <f>+Q29-D29</f>
        <v>28040.814402865537</v>
      </c>
      <c r="S29" s="58"/>
      <c r="T29" s="2"/>
    </row>
    <row r="30" spans="1:20" x14ac:dyDescent="0.2">
      <c r="A30" s="18"/>
      <c r="B30" s="346"/>
      <c r="C30" s="362" t="str">
        <f>'Budget by Month Master'!B30</f>
        <v>Total Variable Costs %</v>
      </c>
      <c r="D30" s="321">
        <f>+D29/D$12</f>
        <v>0.62</v>
      </c>
      <c r="E30" s="35">
        <f>'Budget by Month Master'!D30</f>
        <v>0.60291262135922319</v>
      </c>
      <c r="F30" s="35">
        <f>'Budget by Month Master'!E30</f>
        <v>0.60291262135922319</v>
      </c>
      <c r="G30" s="35">
        <f>'Budget by Month Master'!F30</f>
        <v>0.60291262135922319</v>
      </c>
      <c r="H30" s="35">
        <f>'Budget by Month Master'!G30</f>
        <v>0.60291262135922319</v>
      </c>
      <c r="I30" s="35">
        <f>'Budget by Month Master'!H30</f>
        <v>0.60291262135922308</v>
      </c>
      <c r="J30" s="35">
        <f>'Budget by Month Master'!I30</f>
        <v>0.6029126213592233</v>
      </c>
      <c r="K30" s="35">
        <f>'Budget by Month Master'!J30</f>
        <v>0.6029126213592233</v>
      </c>
      <c r="L30" s="35">
        <f>'Budget by Month Master'!K30</f>
        <v>0.60291262135922308</v>
      </c>
      <c r="M30" s="35">
        <f>'Budget by Month Master'!L30</f>
        <v>0.6029126213592233</v>
      </c>
      <c r="N30" s="35">
        <f>'Budget by Month Master'!M30</f>
        <v>0.6029126213592233</v>
      </c>
      <c r="O30" s="35">
        <f>'Budget by Month Master'!N30</f>
        <v>0.60291262135922319</v>
      </c>
      <c r="P30" s="35">
        <f>'Budget by Month Master'!O30</f>
        <v>0.60291262135922319</v>
      </c>
      <c r="Q30" s="272">
        <f>'Budget by Month Master'!P30</f>
        <v>0.60291262135922308</v>
      </c>
      <c r="R30" s="383">
        <f>+R29/D29</f>
        <v>9.0454240009243667E-2</v>
      </c>
      <c r="S30" s="53"/>
      <c r="T30" s="2"/>
    </row>
    <row r="31" spans="1:20" x14ac:dyDescent="0.2">
      <c r="A31" s="18"/>
      <c r="B31" s="346"/>
      <c r="C31" s="364" t="str">
        <f>'Budget by Month Master'!B31</f>
        <v>Gross Profit</v>
      </c>
      <c r="D31" s="324">
        <f>+D12-D29</f>
        <v>190000</v>
      </c>
      <c r="E31" s="315">
        <f t="shared" ref="E31:Q31" si="12">+E12-E29</f>
        <v>13149.902893781218</v>
      </c>
      <c r="F31" s="315">
        <f t="shared" si="12"/>
        <v>18546.183667020727</v>
      </c>
      <c r="G31" s="315">
        <f t="shared" si="12"/>
        <v>22032.277727965884</v>
      </c>
      <c r="H31" s="315">
        <f t="shared" si="12"/>
        <v>15592.341961667498</v>
      </c>
      <c r="I31" s="315">
        <f t="shared" si="12"/>
        <v>19996.773578394932</v>
      </c>
      <c r="J31" s="315">
        <f t="shared" si="12"/>
        <v>18352.855718239534</v>
      </c>
      <c r="K31" s="315">
        <f t="shared" si="12"/>
        <v>20239.312737485154</v>
      </c>
      <c r="L31" s="315">
        <f t="shared" si="12"/>
        <v>20349.294789893851</v>
      </c>
      <c r="M31" s="315">
        <f t="shared" si="12"/>
        <v>19754.533012022544</v>
      </c>
      <c r="N31" s="315">
        <f t="shared" si="12"/>
        <v>20074.346280888043</v>
      </c>
      <c r="O31" s="315">
        <f t="shared" si="12"/>
        <v>18954.571816829775</v>
      </c>
      <c r="P31" s="315">
        <f t="shared" si="12"/>
        <v>15596.403063430862</v>
      </c>
      <c r="Q31" s="378">
        <f t="shared" si="12"/>
        <v>222638.79724762001</v>
      </c>
      <c r="R31" s="387">
        <f>+Q31-D31</f>
        <v>32638.797247620008</v>
      </c>
      <c r="S31" s="53"/>
      <c r="T31" s="2"/>
    </row>
    <row r="32" spans="1:20" x14ac:dyDescent="0.2">
      <c r="A32" s="18"/>
      <c r="B32" s="346"/>
      <c r="C32" s="362" t="str">
        <f>'Budget by Month Master'!B32</f>
        <v>Gross Profit %</v>
      </c>
      <c r="D32" s="321">
        <f>+D31/D$12</f>
        <v>0.38</v>
      </c>
      <c r="E32" s="35">
        <f t="shared" ref="E32:Q32" si="13">+E31/E$12</f>
        <v>0.39708737864077681</v>
      </c>
      <c r="F32" s="35">
        <f t="shared" si="13"/>
        <v>0.39708737864077676</v>
      </c>
      <c r="G32" s="35">
        <f t="shared" si="13"/>
        <v>0.39708737864077681</v>
      </c>
      <c r="H32" s="35">
        <f t="shared" si="13"/>
        <v>0.39708737864077687</v>
      </c>
      <c r="I32" s="35">
        <f t="shared" si="13"/>
        <v>0.39708737864077687</v>
      </c>
      <c r="J32" s="35">
        <f t="shared" si="13"/>
        <v>0.3970873786407767</v>
      </c>
      <c r="K32" s="35">
        <f t="shared" si="13"/>
        <v>0.3970873786407767</v>
      </c>
      <c r="L32" s="35">
        <f t="shared" si="13"/>
        <v>0.39708737864077692</v>
      </c>
      <c r="M32" s="35">
        <f t="shared" si="13"/>
        <v>0.39708737864077676</v>
      </c>
      <c r="N32" s="35">
        <f t="shared" si="13"/>
        <v>0.39708737864077664</v>
      </c>
      <c r="O32" s="35">
        <f t="shared" si="13"/>
        <v>0.39708737864077681</v>
      </c>
      <c r="P32" s="35">
        <f t="shared" si="13"/>
        <v>0.39708737864077687</v>
      </c>
      <c r="Q32" s="272">
        <f t="shared" si="13"/>
        <v>0.39708737864077676</v>
      </c>
      <c r="R32" s="383">
        <f>+R31/D31</f>
        <v>0.17178314340852635</v>
      </c>
      <c r="S32" s="53"/>
      <c r="T32" s="2"/>
    </row>
    <row r="33" spans="1:20" x14ac:dyDescent="0.2">
      <c r="A33" s="18"/>
      <c r="B33" s="346"/>
      <c r="C33" s="362" t="str">
        <f>'Budget by Month Master'!B33</f>
        <v>Mark-up Equivalent</v>
      </c>
      <c r="D33" s="321">
        <f>IF(D12=0,0,+D12/D29-1)</f>
        <v>0.61290322580645151</v>
      </c>
      <c r="E33" s="35">
        <f t="shared" ref="E33:R33" si="14">IF(E12=0,0,+E12/E29-1)</f>
        <v>0.6586151368760067</v>
      </c>
      <c r="F33" s="35">
        <f t="shared" si="14"/>
        <v>0.6586151368760067</v>
      </c>
      <c r="G33" s="35">
        <f t="shared" si="14"/>
        <v>0.6586151368760067</v>
      </c>
      <c r="H33" s="35">
        <f t="shared" si="14"/>
        <v>0.65861513687600692</v>
      </c>
      <c r="I33" s="35">
        <f t="shared" si="14"/>
        <v>0.65861513687600692</v>
      </c>
      <c r="J33" s="35">
        <f t="shared" si="14"/>
        <v>0.65861513687600648</v>
      </c>
      <c r="K33" s="35">
        <f t="shared" si="14"/>
        <v>0.65861513687600648</v>
      </c>
      <c r="L33" s="35">
        <f t="shared" si="14"/>
        <v>0.65861513687600692</v>
      </c>
      <c r="M33" s="35">
        <f t="shared" si="14"/>
        <v>0.65861513687600648</v>
      </c>
      <c r="N33" s="35">
        <f t="shared" si="14"/>
        <v>0.65861513687600626</v>
      </c>
      <c r="O33" s="35">
        <f t="shared" si="14"/>
        <v>0.6586151368760067</v>
      </c>
      <c r="P33" s="35">
        <f t="shared" si="14"/>
        <v>0.65861513687600692</v>
      </c>
      <c r="Q33" s="272">
        <f t="shared" si="14"/>
        <v>0.65861513687600648</v>
      </c>
      <c r="R33" s="388">
        <f t="shared" si="14"/>
        <v>1.1639746541842451</v>
      </c>
      <c r="S33" s="53"/>
      <c r="T33" s="2"/>
    </row>
    <row r="34" spans="1:20" x14ac:dyDescent="0.2">
      <c r="A34" s="18"/>
      <c r="B34" s="346"/>
      <c r="C34" s="333" t="str">
        <f>'Budget by Month Master'!B34</f>
        <v>Fixed Costs</v>
      </c>
      <c r="D34" s="319"/>
      <c r="E34" s="39"/>
      <c r="F34" s="39"/>
      <c r="G34" s="39"/>
      <c r="H34" s="39"/>
      <c r="I34" s="39"/>
      <c r="J34" s="39"/>
      <c r="K34" s="39"/>
      <c r="L34" s="39"/>
      <c r="M34" s="39"/>
      <c r="N34" s="39"/>
      <c r="O34" s="39"/>
      <c r="P34" s="39"/>
      <c r="Q34" s="54"/>
      <c r="R34" s="386"/>
      <c r="S34" s="53"/>
      <c r="T34" s="2"/>
    </row>
    <row r="35" spans="1:20" x14ac:dyDescent="0.2">
      <c r="A35" s="18"/>
      <c r="B35" s="346"/>
      <c r="C35" s="361" t="s">
        <v>112</v>
      </c>
      <c r="D35" s="352">
        <v>40000</v>
      </c>
      <c r="E35" s="353">
        <v>3434.4660194174758</v>
      </c>
      <c r="F35" s="353">
        <v>3434.4660194174758</v>
      </c>
      <c r="G35" s="353">
        <v>3434.4660194174758</v>
      </c>
      <c r="H35" s="353">
        <v>3434.4660194174758</v>
      </c>
      <c r="I35" s="353">
        <v>3434.4660194174758</v>
      </c>
      <c r="J35" s="353">
        <v>3434.4660194174758</v>
      </c>
      <c r="K35" s="353">
        <v>3434.4660194174758</v>
      </c>
      <c r="L35" s="353">
        <v>3434.4660194174758</v>
      </c>
      <c r="M35" s="353">
        <v>3434.4660194174758</v>
      </c>
      <c r="N35" s="353">
        <v>3434.4660194174758</v>
      </c>
      <c r="O35" s="353">
        <v>3434.4660194174758</v>
      </c>
      <c r="P35" s="353">
        <v>3434.4660194174758</v>
      </c>
      <c r="Q35" s="376">
        <f>SUM(E35:P35)</f>
        <v>41213.592233009709</v>
      </c>
      <c r="R35" s="384">
        <f>+Q35-D35</f>
        <v>1213.5922330097092</v>
      </c>
      <c r="S35" s="53"/>
      <c r="T35" s="2"/>
    </row>
    <row r="36" spans="1:20" x14ac:dyDescent="0.2">
      <c r="A36" s="18"/>
      <c r="B36" s="346"/>
      <c r="C36" s="362" t="str">
        <f>'Budget by Month Master'!B36</f>
        <v>% Revenue</v>
      </c>
      <c r="D36" s="321">
        <f>+D35/D$12</f>
        <v>0.08</v>
      </c>
      <c r="E36" s="35">
        <f t="shared" ref="E36:Q36" si="15">+E35/E$12</f>
        <v>0.10371050795563377</v>
      </c>
      <c r="F36" s="35">
        <f t="shared" si="15"/>
        <v>7.3534433453628562E-2</v>
      </c>
      <c r="G36" s="35">
        <f t="shared" si="15"/>
        <v>6.1899324505620197E-2</v>
      </c>
      <c r="H36" s="35">
        <f t="shared" si="15"/>
        <v>8.7464930671355107E-2</v>
      </c>
      <c r="I36" s="35">
        <f t="shared" si="15"/>
        <v>6.8200157557156013E-2</v>
      </c>
      <c r="J36" s="35">
        <f t="shared" si="15"/>
        <v>7.4309041035284004E-2</v>
      </c>
      <c r="K36" s="35">
        <f t="shared" si="15"/>
        <v>6.7382876403478398E-2</v>
      </c>
      <c r="L36" s="35">
        <f t="shared" si="15"/>
        <v>6.7018691446674106E-2</v>
      </c>
      <c r="M36" s="35">
        <f t="shared" si="15"/>
        <v>6.9036464078969351E-2</v>
      </c>
      <c r="N36" s="35">
        <f t="shared" si="15"/>
        <v>6.7936613705807683E-2</v>
      </c>
      <c r="O36" s="35">
        <f t="shared" si="15"/>
        <v>7.1950087918652164E-2</v>
      </c>
      <c r="P36" s="35">
        <f t="shared" si="15"/>
        <v>8.7442155933953325E-2</v>
      </c>
      <c r="Q36" s="272">
        <f t="shared" si="15"/>
        <v>7.3506493506493492E-2</v>
      </c>
      <c r="R36" s="383">
        <f>+R35/D35</f>
        <v>3.0339805825242729E-2</v>
      </c>
      <c r="S36" s="53"/>
      <c r="T36" s="2"/>
    </row>
    <row r="37" spans="1:20" x14ac:dyDescent="0.2">
      <c r="A37" s="18"/>
      <c r="B37" s="346"/>
      <c r="C37" s="361" t="s">
        <v>113</v>
      </c>
      <c r="D37" s="352">
        <v>30000</v>
      </c>
      <c r="E37" s="353">
        <v>2575.8495145631068</v>
      </c>
      <c r="F37" s="353">
        <v>2575.8495145631068</v>
      </c>
      <c r="G37" s="353">
        <v>2575.8495145631068</v>
      </c>
      <c r="H37" s="353">
        <v>2575.8495145631068</v>
      </c>
      <c r="I37" s="353">
        <v>2575.8495145631068</v>
      </c>
      <c r="J37" s="353">
        <v>2575.8495145631068</v>
      </c>
      <c r="K37" s="353">
        <v>2575.8495145631068</v>
      </c>
      <c r="L37" s="353">
        <v>2575.8495145631068</v>
      </c>
      <c r="M37" s="353">
        <v>2575.8495145631068</v>
      </c>
      <c r="N37" s="353">
        <v>2575.8495145631068</v>
      </c>
      <c r="O37" s="353">
        <v>2575.8495145631068</v>
      </c>
      <c r="P37" s="353">
        <v>2575.8495145631068</v>
      </c>
      <c r="Q37" s="376">
        <f>SUM(E37:P37)</f>
        <v>30910.194174757275</v>
      </c>
      <c r="R37" s="384">
        <f>+Q37-D37</f>
        <v>910.1941747572746</v>
      </c>
      <c r="S37" s="53"/>
      <c r="T37" s="2"/>
    </row>
    <row r="38" spans="1:20" x14ac:dyDescent="0.2">
      <c r="A38" s="18"/>
      <c r="B38" s="346"/>
      <c r="C38" s="362" t="str">
        <f>'Budget by Month Master'!B38</f>
        <v>% Revenue</v>
      </c>
      <c r="D38" s="321">
        <f>+D37/D$12</f>
        <v>0.06</v>
      </c>
      <c r="E38" s="35">
        <f t="shared" ref="E38:Q38" si="16">+E37/E$12</f>
        <v>7.7782880966725337E-2</v>
      </c>
      <c r="F38" s="35">
        <f t="shared" si="16"/>
        <v>5.5150825090221421E-2</v>
      </c>
      <c r="G38" s="35">
        <f t="shared" si="16"/>
        <v>4.642449337921515E-2</v>
      </c>
      <c r="H38" s="35">
        <f t="shared" si="16"/>
        <v>6.5598698003516337E-2</v>
      </c>
      <c r="I38" s="35">
        <f t="shared" si="16"/>
        <v>5.1150118167867013E-2</v>
      </c>
      <c r="J38" s="35">
        <f t="shared" si="16"/>
        <v>5.5731780776463007E-2</v>
      </c>
      <c r="K38" s="35">
        <f t="shared" si="16"/>
        <v>5.0537157302608805E-2</v>
      </c>
      <c r="L38" s="35">
        <f t="shared" si="16"/>
        <v>5.0264018585005579E-2</v>
      </c>
      <c r="M38" s="35">
        <f t="shared" si="16"/>
        <v>5.1777348059227006E-2</v>
      </c>
      <c r="N38" s="35">
        <f t="shared" si="16"/>
        <v>5.0952460279355766E-2</v>
      </c>
      <c r="O38" s="35">
        <f t="shared" si="16"/>
        <v>5.396256593898912E-2</v>
      </c>
      <c r="P38" s="35">
        <f t="shared" si="16"/>
        <v>6.5581616950464994E-2</v>
      </c>
      <c r="Q38" s="272">
        <f t="shared" si="16"/>
        <v>5.5129870129870105E-2</v>
      </c>
      <c r="R38" s="383">
        <f>+R37/D37</f>
        <v>3.0339805825242486E-2</v>
      </c>
      <c r="S38" s="53"/>
      <c r="T38" s="2"/>
    </row>
    <row r="39" spans="1:20" x14ac:dyDescent="0.2">
      <c r="A39" s="18"/>
      <c r="B39" s="346"/>
      <c r="C39" s="361" t="s">
        <v>159</v>
      </c>
      <c r="D39" s="352">
        <v>50000</v>
      </c>
      <c r="E39" s="353">
        <v>4293.0825242718447</v>
      </c>
      <c r="F39" s="353">
        <v>4293.0825242718447</v>
      </c>
      <c r="G39" s="353">
        <v>4293.0825242718447</v>
      </c>
      <c r="H39" s="353">
        <v>4293.0825242718447</v>
      </c>
      <c r="I39" s="353">
        <v>4293.0825242718447</v>
      </c>
      <c r="J39" s="353">
        <v>4293.0825242718447</v>
      </c>
      <c r="K39" s="353">
        <v>4293.0825242718447</v>
      </c>
      <c r="L39" s="353">
        <v>4293.0825242718447</v>
      </c>
      <c r="M39" s="353">
        <v>4293.0825242718447</v>
      </c>
      <c r="N39" s="353">
        <v>4293.0825242718447</v>
      </c>
      <c r="O39" s="353">
        <v>4293.0825242718447</v>
      </c>
      <c r="P39" s="353">
        <v>4293.0825242718447</v>
      </c>
      <c r="Q39" s="376">
        <f>SUM(E39:P39)</f>
        <v>51516.990291262126</v>
      </c>
      <c r="R39" s="384">
        <f>+Q39-D39</f>
        <v>1516.9902912621255</v>
      </c>
      <c r="S39" s="53"/>
      <c r="T39" s="2"/>
    </row>
    <row r="40" spans="1:20" x14ac:dyDescent="0.2">
      <c r="A40" s="18"/>
      <c r="B40" s="346"/>
      <c r="C40" s="362" t="str">
        <f>'Budget by Month Master'!B40</f>
        <v>% Revenue</v>
      </c>
      <c r="D40" s="321">
        <f>+D39/D$12</f>
        <v>0.1</v>
      </c>
      <c r="E40" s="35">
        <f t="shared" ref="E40:Q40" si="17">+E39/E$12</f>
        <v>0.12963813494454221</v>
      </c>
      <c r="F40" s="35">
        <f t="shared" si="17"/>
        <v>9.1918041817035709E-2</v>
      </c>
      <c r="G40" s="35">
        <f t="shared" si="17"/>
        <v>7.7374155632025238E-2</v>
      </c>
      <c r="H40" s="35">
        <f t="shared" si="17"/>
        <v>0.10933116333919389</v>
      </c>
      <c r="I40" s="35">
        <f t="shared" si="17"/>
        <v>8.525019694644502E-2</v>
      </c>
      <c r="J40" s="35">
        <f t="shared" si="17"/>
        <v>9.2886301294105009E-2</v>
      </c>
      <c r="K40" s="35">
        <f t="shared" si="17"/>
        <v>8.4228595504348011E-2</v>
      </c>
      <c r="L40" s="35">
        <f t="shared" si="17"/>
        <v>8.3773364308342632E-2</v>
      </c>
      <c r="M40" s="35">
        <f t="shared" si="17"/>
        <v>8.6295580098711674E-2</v>
      </c>
      <c r="N40" s="35">
        <f t="shared" si="17"/>
        <v>8.4920767132259614E-2</v>
      </c>
      <c r="O40" s="35">
        <f t="shared" si="17"/>
        <v>8.9937609898315202E-2</v>
      </c>
      <c r="P40" s="35">
        <f t="shared" si="17"/>
        <v>0.10930269491744166</v>
      </c>
      <c r="Q40" s="272">
        <f t="shared" si="17"/>
        <v>9.1883116883116844E-2</v>
      </c>
      <c r="R40" s="383">
        <f>+R39/D39</f>
        <v>3.0339805825242511E-2</v>
      </c>
      <c r="S40" s="53"/>
      <c r="T40" s="2"/>
    </row>
    <row r="41" spans="1:20" x14ac:dyDescent="0.2">
      <c r="A41" s="18"/>
      <c r="B41" s="346"/>
      <c r="C41" s="361" t="s">
        <v>161</v>
      </c>
      <c r="D41" s="352">
        <v>10000</v>
      </c>
      <c r="E41" s="353">
        <v>858.61650485436894</v>
      </c>
      <c r="F41" s="353">
        <v>858.61650485436894</v>
      </c>
      <c r="G41" s="353">
        <v>858.61650485436894</v>
      </c>
      <c r="H41" s="353">
        <v>858.61650485436894</v>
      </c>
      <c r="I41" s="353">
        <v>858.61650485436894</v>
      </c>
      <c r="J41" s="353">
        <v>858.61650485436894</v>
      </c>
      <c r="K41" s="353">
        <v>858.61650485436894</v>
      </c>
      <c r="L41" s="353">
        <v>858.61650485436894</v>
      </c>
      <c r="M41" s="353">
        <v>858.61650485436894</v>
      </c>
      <c r="N41" s="353">
        <v>858.61650485436894</v>
      </c>
      <c r="O41" s="353">
        <v>858.61650485436894</v>
      </c>
      <c r="P41" s="353">
        <v>858.61650485436894</v>
      </c>
      <c r="Q41" s="376">
        <f>SUM(E41:P41)</f>
        <v>10303.398058252427</v>
      </c>
      <c r="R41" s="384">
        <f>+Q41-D41</f>
        <v>303.39805825242729</v>
      </c>
      <c r="S41" s="53"/>
      <c r="T41" s="2"/>
    </row>
    <row r="42" spans="1:20" x14ac:dyDescent="0.2">
      <c r="A42" s="18"/>
      <c r="B42" s="346"/>
      <c r="C42" s="362" t="str">
        <f>'Budget by Month Master'!B42</f>
        <v>% Revenue</v>
      </c>
      <c r="D42" s="321">
        <f>+D41/D$12</f>
        <v>0.02</v>
      </c>
      <c r="E42" s="35">
        <f t="shared" ref="E42:Q42" si="18">+E41/E$12</f>
        <v>2.5927626988908443E-2</v>
      </c>
      <c r="F42" s="35">
        <f t="shared" si="18"/>
        <v>1.838360836340714E-2</v>
      </c>
      <c r="G42" s="35">
        <f t="shared" si="18"/>
        <v>1.5474831126405049E-2</v>
      </c>
      <c r="H42" s="35">
        <f t="shared" si="18"/>
        <v>2.1866232667838777E-2</v>
      </c>
      <c r="I42" s="35">
        <f t="shared" si="18"/>
        <v>1.7050039389289003E-2</v>
      </c>
      <c r="J42" s="35">
        <f t="shared" si="18"/>
        <v>1.8577260258821001E-2</v>
      </c>
      <c r="K42" s="35">
        <f t="shared" si="18"/>
        <v>1.6845719100869599E-2</v>
      </c>
      <c r="L42" s="35">
        <f t="shared" si="18"/>
        <v>1.6754672861668526E-2</v>
      </c>
      <c r="M42" s="35">
        <f t="shared" si="18"/>
        <v>1.7259116019742338E-2</v>
      </c>
      <c r="N42" s="35">
        <f t="shared" si="18"/>
        <v>1.6984153426451921E-2</v>
      </c>
      <c r="O42" s="35">
        <f t="shared" si="18"/>
        <v>1.7987521979663041E-2</v>
      </c>
      <c r="P42" s="35">
        <f t="shared" si="18"/>
        <v>2.1860538983488331E-2</v>
      </c>
      <c r="Q42" s="272">
        <f t="shared" si="18"/>
        <v>1.8376623376623373E-2</v>
      </c>
      <c r="R42" s="383">
        <f>+R41/D41</f>
        <v>3.0339805825242729E-2</v>
      </c>
      <c r="S42" s="53"/>
      <c r="T42" s="2"/>
    </row>
    <row r="43" spans="1:20" x14ac:dyDescent="0.2">
      <c r="A43" s="18"/>
      <c r="B43" s="346"/>
      <c r="C43" s="361" t="s">
        <v>124</v>
      </c>
      <c r="D43" s="352">
        <v>0</v>
      </c>
      <c r="E43" s="353">
        <v>0</v>
      </c>
      <c r="F43" s="353">
        <v>0</v>
      </c>
      <c r="G43" s="353">
        <v>0</v>
      </c>
      <c r="H43" s="353">
        <v>0</v>
      </c>
      <c r="I43" s="353">
        <v>0</v>
      </c>
      <c r="J43" s="353">
        <v>0</v>
      </c>
      <c r="K43" s="353">
        <v>0</v>
      </c>
      <c r="L43" s="353">
        <v>0</v>
      </c>
      <c r="M43" s="353">
        <v>0</v>
      </c>
      <c r="N43" s="353">
        <v>0</v>
      </c>
      <c r="O43" s="353">
        <v>0</v>
      </c>
      <c r="P43" s="353">
        <v>0</v>
      </c>
      <c r="Q43" s="376">
        <f>SUM(E43:P43)</f>
        <v>0</v>
      </c>
      <c r="R43" s="384">
        <f>+Q43-D43</f>
        <v>0</v>
      </c>
      <c r="S43" s="53"/>
      <c r="T43" s="2"/>
    </row>
    <row r="44" spans="1:20" x14ac:dyDescent="0.2">
      <c r="A44" s="18"/>
      <c r="B44" s="346"/>
      <c r="C44" s="362" t="str">
        <f>'Budget by Month Master'!B44</f>
        <v>% Revenue</v>
      </c>
      <c r="D44" s="321">
        <f>+D43/D$12</f>
        <v>0</v>
      </c>
      <c r="E44" s="35">
        <f t="shared" ref="E44:Q44" si="19">+E43/E$12</f>
        <v>0</v>
      </c>
      <c r="F44" s="35">
        <f t="shared" si="19"/>
        <v>0</v>
      </c>
      <c r="G44" s="35">
        <f t="shared" si="19"/>
        <v>0</v>
      </c>
      <c r="H44" s="35">
        <f t="shared" si="19"/>
        <v>0</v>
      </c>
      <c r="I44" s="35">
        <f t="shared" si="19"/>
        <v>0</v>
      </c>
      <c r="J44" s="35">
        <f t="shared" si="19"/>
        <v>0</v>
      </c>
      <c r="K44" s="35">
        <f t="shared" si="19"/>
        <v>0</v>
      </c>
      <c r="L44" s="35">
        <f t="shared" si="19"/>
        <v>0</v>
      </c>
      <c r="M44" s="35">
        <f t="shared" si="19"/>
        <v>0</v>
      </c>
      <c r="N44" s="35">
        <f t="shared" si="19"/>
        <v>0</v>
      </c>
      <c r="O44" s="35">
        <f t="shared" si="19"/>
        <v>0</v>
      </c>
      <c r="P44" s="35">
        <f t="shared" si="19"/>
        <v>0</v>
      </c>
      <c r="Q44" s="272">
        <f t="shared" si="19"/>
        <v>0</v>
      </c>
      <c r="R44" s="383" t="e">
        <f>+R43/D43</f>
        <v>#DIV/0!</v>
      </c>
      <c r="S44" s="53"/>
      <c r="T44" s="2"/>
    </row>
    <row r="45" spans="1:20" x14ac:dyDescent="0.2">
      <c r="A45" s="18"/>
      <c r="B45" s="346"/>
      <c r="C45" s="361" t="s">
        <v>111</v>
      </c>
      <c r="D45" s="352">
        <v>0</v>
      </c>
      <c r="E45" s="353">
        <v>0</v>
      </c>
      <c r="F45" s="353">
        <v>0</v>
      </c>
      <c r="G45" s="353">
        <v>0</v>
      </c>
      <c r="H45" s="353">
        <v>0</v>
      </c>
      <c r="I45" s="353">
        <v>0</v>
      </c>
      <c r="J45" s="353">
        <v>0</v>
      </c>
      <c r="K45" s="353">
        <v>0</v>
      </c>
      <c r="L45" s="353">
        <v>0</v>
      </c>
      <c r="M45" s="353">
        <v>0</v>
      </c>
      <c r="N45" s="353">
        <v>0</v>
      </c>
      <c r="O45" s="353">
        <v>0</v>
      </c>
      <c r="P45" s="353">
        <v>0</v>
      </c>
      <c r="Q45" s="376">
        <f>SUM(E45:P45)</f>
        <v>0</v>
      </c>
      <c r="R45" s="384">
        <f>+Q45-D45</f>
        <v>0</v>
      </c>
      <c r="S45" s="53"/>
      <c r="T45" s="2"/>
    </row>
    <row r="46" spans="1:20" x14ac:dyDescent="0.2">
      <c r="A46" s="18"/>
      <c r="B46" s="346"/>
      <c r="C46" s="362" t="str">
        <f>'Budget by Month Master'!B46</f>
        <v>% Revenue</v>
      </c>
      <c r="D46" s="321">
        <f>+D45/D$12</f>
        <v>0</v>
      </c>
      <c r="E46" s="35">
        <f t="shared" ref="E46:Q46" si="20">+E45/E$12</f>
        <v>0</v>
      </c>
      <c r="F46" s="35">
        <f t="shared" si="20"/>
        <v>0</v>
      </c>
      <c r="G46" s="35">
        <f t="shared" si="20"/>
        <v>0</v>
      </c>
      <c r="H46" s="35">
        <f t="shared" si="20"/>
        <v>0</v>
      </c>
      <c r="I46" s="35">
        <f t="shared" si="20"/>
        <v>0</v>
      </c>
      <c r="J46" s="35">
        <f t="shared" si="20"/>
        <v>0</v>
      </c>
      <c r="K46" s="35">
        <f t="shared" si="20"/>
        <v>0</v>
      </c>
      <c r="L46" s="35">
        <f t="shared" si="20"/>
        <v>0</v>
      </c>
      <c r="M46" s="35">
        <f t="shared" si="20"/>
        <v>0</v>
      </c>
      <c r="N46" s="35">
        <f t="shared" si="20"/>
        <v>0</v>
      </c>
      <c r="O46" s="35">
        <f t="shared" si="20"/>
        <v>0</v>
      </c>
      <c r="P46" s="35">
        <f t="shared" si="20"/>
        <v>0</v>
      </c>
      <c r="Q46" s="272">
        <f t="shared" si="20"/>
        <v>0</v>
      </c>
      <c r="R46" s="383" t="e">
        <f>+R45/D45</f>
        <v>#DIV/0!</v>
      </c>
      <c r="S46" s="53"/>
      <c r="T46" s="2"/>
    </row>
    <row r="47" spans="1:20" x14ac:dyDescent="0.2">
      <c r="A47" s="18"/>
      <c r="B47" s="346"/>
      <c r="C47" s="363" t="str">
        <f>'Budget by Month Master'!B47</f>
        <v>Total Fixed Costs</v>
      </c>
      <c r="D47" s="322">
        <f>+D35+D37+D39+D41+D43+D45</f>
        <v>130000</v>
      </c>
      <c r="E47" s="52">
        <f t="shared" ref="E47:Q47" si="21">+E35+E37+E39+E41+E43+E45</f>
        <v>11162.014563106797</v>
      </c>
      <c r="F47" s="52">
        <f t="shared" si="21"/>
        <v>11162.014563106797</v>
      </c>
      <c r="G47" s="52">
        <f t="shared" si="21"/>
        <v>11162.014563106797</v>
      </c>
      <c r="H47" s="52">
        <f t="shared" si="21"/>
        <v>11162.014563106797</v>
      </c>
      <c r="I47" s="52">
        <f t="shared" si="21"/>
        <v>11162.014563106797</v>
      </c>
      <c r="J47" s="52">
        <f t="shared" si="21"/>
        <v>11162.014563106797</v>
      </c>
      <c r="K47" s="52">
        <f t="shared" si="21"/>
        <v>11162.014563106797</v>
      </c>
      <c r="L47" s="52">
        <f t="shared" si="21"/>
        <v>11162.014563106797</v>
      </c>
      <c r="M47" s="52">
        <f t="shared" si="21"/>
        <v>11162.014563106797</v>
      </c>
      <c r="N47" s="52">
        <f t="shared" si="21"/>
        <v>11162.014563106797</v>
      </c>
      <c r="O47" s="52">
        <f t="shared" si="21"/>
        <v>11162.014563106797</v>
      </c>
      <c r="P47" s="52">
        <f t="shared" si="21"/>
        <v>11162.014563106797</v>
      </c>
      <c r="Q47" s="279">
        <f t="shared" si="21"/>
        <v>133944.17475728155</v>
      </c>
      <c r="R47" s="387">
        <f>+Q47-D47</f>
        <v>3944.1747572815511</v>
      </c>
      <c r="S47" s="53"/>
      <c r="T47" s="2"/>
    </row>
    <row r="48" spans="1:20" x14ac:dyDescent="0.2">
      <c r="A48" s="18"/>
      <c r="B48" s="346"/>
      <c r="C48" s="362" t="str">
        <f>'Budget by Month Master'!B48</f>
        <v>Total Fixed Costs %</v>
      </c>
      <c r="D48" s="321">
        <f>+D47/D$12</f>
        <v>0.26</v>
      </c>
      <c r="E48" s="35">
        <f t="shared" ref="E48:Q48" si="22">+E47/E$12</f>
        <v>0.33705915085580979</v>
      </c>
      <c r="F48" s="35">
        <f t="shared" si="22"/>
        <v>0.23898690872429285</v>
      </c>
      <c r="G48" s="35">
        <f t="shared" si="22"/>
        <v>0.20117280464326565</v>
      </c>
      <c r="H48" s="35">
        <f t="shared" si="22"/>
        <v>0.28426102468190412</v>
      </c>
      <c r="I48" s="35">
        <f t="shared" si="22"/>
        <v>0.22165051206075709</v>
      </c>
      <c r="J48" s="35">
        <f t="shared" si="22"/>
        <v>0.24150438336467303</v>
      </c>
      <c r="K48" s="35">
        <f t="shared" si="22"/>
        <v>0.21899434831130482</v>
      </c>
      <c r="L48" s="35">
        <f t="shared" si="22"/>
        <v>0.21781074720169089</v>
      </c>
      <c r="M48" s="35">
        <f t="shared" si="22"/>
        <v>0.22436850825665039</v>
      </c>
      <c r="N48" s="35">
        <f t="shared" si="22"/>
        <v>0.22079399454387499</v>
      </c>
      <c r="O48" s="35">
        <f t="shared" si="22"/>
        <v>0.23383778573561953</v>
      </c>
      <c r="P48" s="35">
        <f t="shared" si="22"/>
        <v>0.28418700678534836</v>
      </c>
      <c r="Q48" s="272">
        <f t="shared" si="22"/>
        <v>0.23889610389610386</v>
      </c>
      <c r="R48" s="383">
        <f>+R47/D47</f>
        <v>3.0339805825242702E-2</v>
      </c>
      <c r="S48" s="53"/>
      <c r="T48" s="2"/>
    </row>
    <row r="49" spans="1:20" x14ac:dyDescent="0.2">
      <c r="A49" s="18"/>
      <c r="B49" s="346"/>
      <c r="C49" s="364"/>
      <c r="D49" s="321"/>
      <c r="E49" s="35"/>
      <c r="F49" s="35"/>
      <c r="G49" s="35"/>
      <c r="H49" s="35"/>
      <c r="I49" s="35"/>
      <c r="J49" s="35"/>
      <c r="K49" s="35"/>
      <c r="L49" s="35"/>
      <c r="M49" s="35"/>
      <c r="N49" s="35"/>
      <c r="O49" s="35"/>
      <c r="P49" s="35"/>
      <c r="Q49" s="277"/>
      <c r="R49" s="389"/>
      <c r="S49" s="53"/>
      <c r="T49" s="2"/>
    </row>
    <row r="50" spans="1:20" x14ac:dyDescent="0.2">
      <c r="A50" s="18"/>
      <c r="B50" s="346"/>
      <c r="C50" s="17" t="str">
        <f>'Budget by Month Master'!B50</f>
        <v>Total Expenses</v>
      </c>
      <c r="D50" s="322">
        <f>+D47+D29</f>
        <v>440000</v>
      </c>
      <c r="E50" s="52">
        <f t="shared" ref="E50:Q50" si="23">+E47+E29</f>
        <v>31128.004042417637</v>
      </c>
      <c r="F50" s="52">
        <f t="shared" si="23"/>
        <v>39321.379006187155</v>
      </c>
      <c r="G50" s="52">
        <f t="shared" si="23"/>
        <v>44614.446027817816</v>
      </c>
      <c r="H50" s="52">
        <f t="shared" si="23"/>
        <v>34836.450646714402</v>
      </c>
      <c r="I50" s="52">
        <f t="shared" si="23"/>
        <v>41523.863932747976</v>
      </c>
      <c r="J50" s="52">
        <f t="shared" si="23"/>
        <v>39027.841949480273</v>
      </c>
      <c r="K50" s="52">
        <f t="shared" si="23"/>
        <v>41892.120210975452</v>
      </c>
      <c r="L50" s="52">
        <f t="shared" si="23"/>
        <v>42059.110075390592</v>
      </c>
      <c r="M50" s="52">
        <f t="shared" si="23"/>
        <v>41156.061019013883</v>
      </c>
      <c r="N50" s="52">
        <f t="shared" si="23"/>
        <v>41641.645468807226</v>
      </c>
      <c r="O50" s="52">
        <f t="shared" si="23"/>
        <v>39941.450011153953</v>
      </c>
      <c r="P50" s="52">
        <f t="shared" si="23"/>
        <v>34842.616769440683</v>
      </c>
      <c r="Q50" s="279">
        <f t="shared" si="23"/>
        <v>471984.98916014709</v>
      </c>
      <c r="R50" s="387">
        <f>+Q50-D50</f>
        <v>31984.989160147088</v>
      </c>
      <c r="S50" s="53"/>
      <c r="T50" s="2"/>
    </row>
    <row r="51" spans="1:20" x14ac:dyDescent="0.2">
      <c r="A51" s="18"/>
      <c r="B51" s="346"/>
      <c r="C51" s="365"/>
      <c r="D51" s="325"/>
      <c r="E51" s="31"/>
      <c r="F51" s="31"/>
      <c r="G51" s="31"/>
      <c r="H51" s="31"/>
      <c r="I51" s="31"/>
      <c r="J51" s="31"/>
      <c r="K51" s="31"/>
      <c r="L51" s="31"/>
      <c r="M51" s="31"/>
      <c r="N51" s="31"/>
      <c r="O51" s="31"/>
      <c r="P51" s="31"/>
      <c r="Q51" s="58"/>
      <c r="R51" s="390"/>
      <c r="S51" s="53"/>
      <c r="T51" s="2"/>
    </row>
    <row r="52" spans="1:20" x14ac:dyDescent="0.2">
      <c r="A52" s="18"/>
      <c r="B52" s="346"/>
      <c r="C52" s="366" t="str">
        <f>'Budget by Month Master'!B52</f>
        <v>Operating Surplus</v>
      </c>
      <c r="D52" s="322">
        <f>+D12-D50</f>
        <v>60000</v>
      </c>
      <c r="E52" s="52">
        <f t="shared" ref="E52:Q52" si="24">+E12-E50</f>
        <v>1987.888330674421</v>
      </c>
      <c r="F52" s="52">
        <f t="shared" si="24"/>
        <v>7384.1691039139332</v>
      </c>
      <c r="G52" s="52">
        <f t="shared" si="24"/>
        <v>10870.26316485909</v>
      </c>
      <c r="H52" s="52">
        <f t="shared" si="24"/>
        <v>4430.3273985607011</v>
      </c>
      <c r="I52" s="52">
        <f t="shared" si="24"/>
        <v>8834.7590152881385</v>
      </c>
      <c r="J52" s="52">
        <f t="shared" si="24"/>
        <v>7190.8411551327372</v>
      </c>
      <c r="K52" s="52">
        <f t="shared" si="24"/>
        <v>9077.2981743783603</v>
      </c>
      <c r="L52" s="52">
        <f t="shared" si="24"/>
        <v>9187.2802267870502</v>
      </c>
      <c r="M52" s="52">
        <f t="shared" si="24"/>
        <v>8592.5184489157473</v>
      </c>
      <c r="N52" s="52">
        <f t="shared" si="24"/>
        <v>8912.3317177812496</v>
      </c>
      <c r="O52" s="52">
        <f t="shared" si="24"/>
        <v>7792.5572537229746</v>
      </c>
      <c r="P52" s="52">
        <f t="shared" si="24"/>
        <v>4434.3885003240648</v>
      </c>
      <c r="Q52" s="279">
        <f t="shared" si="24"/>
        <v>88694.622490338457</v>
      </c>
      <c r="R52" s="387">
        <f>+Q52-D52</f>
        <v>28694.622490338457</v>
      </c>
      <c r="S52" s="53"/>
      <c r="T52" s="2"/>
    </row>
    <row r="53" spans="1:20" x14ac:dyDescent="0.2">
      <c r="A53" s="18"/>
      <c r="B53" s="346"/>
      <c r="C53" s="362" t="str">
        <f>'Budget by Month Master'!B53</f>
        <v>Operating Surplus %</v>
      </c>
      <c r="D53" s="323">
        <f>+D52/D$12</f>
        <v>0.12</v>
      </c>
      <c r="E53" s="38">
        <f t="shared" ref="E53:Q53" si="25">+E52/E$12</f>
        <v>6.0028227784966991E-2</v>
      </c>
      <c r="F53" s="38">
        <f t="shared" si="25"/>
        <v>0.15810046991648399</v>
      </c>
      <c r="G53" s="38">
        <f t="shared" si="25"/>
        <v>0.19591457399751122</v>
      </c>
      <c r="H53" s="38">
        <f t="shared" si="25"/>
        <v>0.11282635395887272</v>
      </c>
      <c r="I53" s="38">
        <f t="shared" si="25"/>
        <v>0.17543686658001986</v>
      </c>
      <c r="J53" s="38">
        <f t="shared" si="25"/>
        <v>0.15558299527610364</v>
      </c>
      <c r="K53" s="38">
        <f t="shared" si="25"/>
        <v>0.17809303032947191</v>
      </c>
      <c r="L53" s="38">
        <f t="shared" si="25"/>
        <v>0.17927663143908595</v>
      </c>
      <c r="M53" s="38">
        <f t="shared" si="25"/>
        <v>0.17271887038412634</v>
      </c>
      <c r="N53" s="38">
        <f t="shared" si="25"/>
        <v>0.17629338409690173</v>
      </c>
      <c r="O53" s="38">
        <f t="shared" si="25"/>
        <v>0.1632495929051572</v>
      </c>
      <c r="P53" s="38">
        <f t="shared" si="25"/>
        <v>0.11290037185542851</v>
      </c>
      <c r="Q53" s="277">
        <f t="shared" si="25"/>
        <v>0.1581912747446729</v>
      </c>
      <c r="R53" s="391">
        <f>+R52/D52</f>
        <v>0.4782437081723076</v>
      </c>
      <c r="S53" s="53"/>
      <c r="T53" s="2"/>
    </row>
    <row r="54" spans="1:20" x14ac:dyDescent="0.2">
      <c r="A54" s="18"/>
      <c r="B54" s="346"/>
      <c r="C54" s="362"/>
      <c r="D54" s="323"/>
      <c r="E54" s="38"/>
      <c r="F54" s="38"/>
      <c r="G54" s="38"/>
      <c r="H54" s="38"/>
      <c r="I54" s="38"/>
      <c r="J54" s="38"/>
      <c r="K54" s="38"/>
      <c r="L54" s="38"/>
      <c r="M54" s="38"/>
      <c r="N54" s="38"/>
      <c r="O54" s="38"/>
      <c r="P54" s="38"/>
      <c r="Q54" s="277"/>
      <c r="R54" s="389"/>
      <c r="S54" s="59"/>
      <c r="T54" s="2"/>
    </row>
    <row r="55" spans="1:20" x14ac:dyDescent="0.2">
      <c r="A55" s="18"/>
      <c r="B55" s="346"/>
      <c r="C55" s="367" t="str">
        <f>'Budget by Month Master'!B55</f>
        <v>LESS</v>
      </c>
      <c r="D55" s="323"/>
      <c r="E55" s="38"/>
      <c r="F55" s="38"/>
      <c r="G55" s="38"/>
      <c r="H55" s="38"/>
      <c r="I55" s="38"/>
      <c r="J55" s="38"/>
      <c r="K55" s="38"/>
      <c r="L55" s="38"/>
      <c r="M55" s="38"/>
      <c r="N55" s="38"/>
      <c r="O55" s="38"/>
      <c r="P55" s="38"/>
      <c r="Q55" s="277"/>
      <c r="R55" s="389"/>
      <c r="S55" s="152"/>
      <c r="T55" s="2"/>
    </row>
    <row r="56" spans="1:20" x14ac:dyDescent="0.2">
      <c r="A56" s="18"/>
      <c r="B56" s="346"/>
      <c r="C56" s="368" t="s">
        <v>96</v>
      </c>
      <c r="D56" s="354">
        <v>12500</v>
      </c>
      <c r="E56" s="355">
        <v>1073.2706310679612</v>
      </c>
      <c r="F56" s="355">
        <v>1073.2706310679612</v>
      </c>
      <c r="G56" s="355">
        <v>1073.2706310679612</v>
      </c>
      <c r="H56" s="355">
        <v>1073.2706310679612</v>
      </c>
      <c r="I56" s="355">
        <v>1073.2706310679612</v>
      </c>
      <c r="J56" s="355">
        <v>1073.2706310679612</v>
      </c>
      <c r="K56" s="355">
        <v>1073.2706310679612</v>
      </c>
      <c r="L56" s="355">
        <v>1073.2706310679612</v>
      </c>
      <c r="M56" s="355">
        <v>1073.2706310679612</v>
      </c>
      <c r="N56" s="355">
        <v>1073.2706310679612</v>
      </c>
      <c r="O56" s="355">
        <v>1073.2706310679612</v>
      </c>
      <c r="P56" s="355">
        <v>1073.2706310679612</v>
      </c>
      <c r="Q56" s="376">
        <f>SUM(E56:P56)</f>
        <v>12879.247572815531</v>
      </c>
      <c r="R56" s="384">
        <f>+Q56-D56</f>
        <v>379.24757281553138</v>
      </c>
      <c r="S56" s="152"/>
      <c r="T56" s="2"/>
    </row>
    <row r="57" spans="1:20" x14ac:dyDescent="0.2">
      <c r="A57" s="18"/>
      <c r="B57" s="346"/>
      <c r="C57" s="369"/>
      <c r="D57" s="327"/>
      <c r="E57" s="284"/>
      <c r="F57" s="284"/>
      <c r="G57" s="284"/>
      <c r="H57" s="284"/>
      <c r="I57" s="284"/>
      <c r="J57" s="284"/>
      <c r="K57" s="284"/>
      <c r="L57" s="284"/>
      <c r="M57" s="284"/>
      <c r="N57" s="284"/>
      <c r="O57" s="284"/>
      <c r="P57" s="284"/>
      <c r="Q57" s="377"/>
      <c r="R57" s="392"/>
      <c r="S57" s="152"/>
      <c r="T57" s="2"/>
    </row>
    <row r="58" spans="1:20" x14ac:dyDescent="0.2">
      <c r="A58" s="18"/>
      <c r="B58" s="346"/>
      <c r="C58" s="287" t="str">
        <f>'Budget by Month Master'!B58</f>
        <v>Business Return</v>
      </c>
      <c r="D58" s="328">
        <f>+D52-D56</f>
        <v>47500</v>
      </c>
      <c r="E58" s="374">
        <f t="shared" ref="E58:Q58" si="26">+E52-E56</f>
        <v>914.61769960645984</v>
      </c>
      <c r="F58" s="374">
        <f t="shared" si="26"/>
        <v>6310.8984728459718</v>
      </c>
      <c r="G58" s="374">
        <f t="shared" si="26"/>
        <v>9796.99253379113</v>
      </c>
      <c r="H58" s="374">
        <f t="shared" si="26"/>
        <v>3357.0567674927397</v>
      </c>
      <c r="I58" s="374">
        <f t="shared" si="26"/>
        <v>7761.4883842201771</v>
      </c>
      <c r="J58" s="374">
        <f t="shared" si="26"/>
        <v>6117.5705240647758</v>
      </c>
      <c r="K58" s="374">
        <f t="shared" si="26"/>
        <v>8004.0275433103989</v>
      </c>
      <c r="L58" s="374">
        <f t="shared" si="26"/>
        <v>8114.0095957190888</v>
      </c>
      <c r="M58" s="374">
        <f t="shared" si="26"/>
        <v>7519.2478178477859</v>
      </c>
      <c r="N58" s="374">
        <f t="shared" si="26"/>
        <v>7839.0610867132882</v>
      </c>
      <c r="O58" s="374">
        <f t="shared" si="26"/>
        <v>6719.2866226550132</v>
      </c>
      <c r="P58" s="374">
        <f t="shared" si="26"/>
        <v>3361.1178692561034</v>
      </c>
      <c r="Q58" s="306">
        <f t="shared" si="26"/>
        <v>75815.374917522931</v>
      </c>
      <c r="R58" s="387">
        <f>+Q58-D58</f>
        <v>28315.374917522931</v>
      </c>
      <c r="S58" s="152"/>
      <c r="T58" s="2"/>
    </row>
    <row r="59" spans="1:20" x14ac:dyDescent="0.2">
      <c r="A59" s="18"/>
      <c r="B59" s="346"/>
      <c r="C59" s="362" t="str">
        <f>'Budget by Month Master'!B59</f>
        <v>Business Return %</v>
      </c>
      <c r="D59" s="323">
        <f>+D58/D$12</f>
        <v>9.5000000000000001E-2</v>
      </c>
      <c r="E59" s="38">
        <f t="shared" ref="E59:Q59" si="27">+E58/E$12</f>
        <v>2.7618694048831431E-2</v>
      </c>
      <c r="F59" s="38">
        <f t="shared" si="27"/>
        <v>0.13512095946222508</v>
      </c>
      <c r="G59" s="38">
        <f t="shared" si="27"/>
        <v>0.17657103508950492</v>
      </c>
      <c r="H59" s="38">
        <f t="shared" si="27"/>
        <v>8.5493563124074246E-2</v>
      </c>
      <c r="I59" s="38">
        <f t="shared" si="27"/>
        <v>0.15412431734340862</v>
      </c>
      <c r="J59" s="38">
        <f t="shared" si="27"/>
        <v>0.13236141995257739</v>
      </c>
      <c r="K59" s="38">
        <f t="shared" si="27"/>
        <v>0.15703588145338493</v>
      </c>
      <c r="L59" s="38">
        <f t="shared" si="27"/>
        <v>0.15833329036200031</v>
      </c>
      <c r="M59" s="38">
        <f t="shared" si="27"/>
        <v>0.15114497535944843</v>
      </c>
      <c r="N59" s="38">
        <f t="shared" si="27"/>
        <v>0.15506319231383683</v>
      </c>
      <c r="O59" s="38">
        <f t="shared" si="27"/>
        <v>0.14076519043057839</v>
      </c>
      <c r="P59" s="38">
        <f t="shared" si="27"/>
        <v>8.5574698126068077E-2</v>
      </c>
      <c r="Q59" s="277">
        <f t="shared" si="27"/>
        <v>0.13522049552389367</v>
      </c>
      <c r="R59" s="391">
        <f>+R58/D58</f>
        <v>0.59611315615837746</v>
      </c>
      <c r="S59" s="153"/>
      <c r="T59" s="2"/>
    </row>
    <row r="60" spans="1:20" x14ac:dyDescent="0.2">
      <c r="A60" s="18"/>
      <c r="B60" s="346"/>
      <c r="C60" s="287"/>
      <c r="D60" s="323"/>
      <c r="E60" s="38"/>
      <c r="F60" s="38"/>
      <c r="G60" s="38"/>
      <c r="H60" s="38"/>
      <c r="I60" s="38"/>
      <c r="J60" s="38"/>
      <c r="K60" s="38"/>
      <c r="L60" s="38"/>
      <c r="M60" s="38"/>
      <c r="N60" s="38"/>
      <c r="O60" s="38"/>
      <c r="P60" s="38"/>
      <c r="Q60" s="277"/>
      <c r="R60" s="389"/>
      <c r="S60" s="153"/>
      <c r="T60" s="2"/>
    </row>
    <row r="61" spans="1:20" x14ac:dyDescent="0.2">
      <c r="A61" s="18"/>
      <c r="B61" s="348"/>
      <c r="C61" s="564"/>
      <c r="D61" s="565"/>
      <c r="E61" s="565"/>
      <c r="F61" s="565"/>
      <c r="G61" s="565"/>
      <c r="H61" s="565"/>
      <c r="I61" s="565"/>
      <c r="J61" s="565"/>
      <c r="K61" s="565"/>
      <c r="L61" s="565"/>
      <c r="M61" s="565"/>
      <c r="N61" s="565"/>
      <c r="O61" s="565"/>
      <c r="P61" s="565"/>
      <c r="Q61" s="565"/>
      <c r="R61" s="565"/>
      <c r="S61" s="153"/>
      <c r="T61" s="2"/>
    </row>
    <row r="62" spans="1:20" ht="18" x14ac:dyDescent="0.2">
      <c r="A62" s="18"/>
      <c r="B62" s="18"/>
      <c r="C62" s="483"/>
      <c r="D62" s="563"/>
      <c r="E62" s="563"/>
      <c r="F62" s="563"/>
      <c r="G62" s="563"/>
      <c r="H62" s="563"/>
      <c r="I62" s="563"/>
      <c r="J62" s="563"/>
      <c r="K62" s="563"/>
      <c r="L62" s="563"/>
      <c r="M62" s="563"/>
      <c r="N62" s="563"/>
      <c r="O62" s="563"/>
      <c r="P62" s="563"/>
      <c r="Q62" s="563"/>
      <c r="R62" s="563"/>
      <c r="S62" s="153"/>
      <c r="T62" s="2"/>
    </row>
    <row r="63" spans="1:20" ht="18" x14ac:dyDescent="0.2">
      <c r="A63" s="18"/>
      <c r="B63" s="18"/>
      <c r="C63" s="483"/>
      <c r="D63" s="483"/>
      <c r="E63" s="483"/>
      <c r="F63" s="483"/>
      <c r="G63" s="483"/>
      <c r="H63" s="483"/>
      <c r="I63" s="483"/>
      <c r="J63" s="483"/>
      <c r="K63" s="483"/>
      <c r="L63" s="483"/>
      <c r="M63" s="483"/>
      <c r="N63" s="483"/>
      <c r="O63" s="483"/>
      <c r="P63" s="483"/>
      <c r="Q63" s="483"/>
      <c r="R63" s="483"/>
      <c r="S63" s="153"/>
      <c r="T63" s="2"/>
    </row>
    <row r="64" spans="1:20" ht="18" x14ac:dyDescent="0.2">
      <c r="A64" s="3"/>
      <c r="B64" s="3"/>
      <c r="C64" s="481"/>
      <c r="D64" s="569"/>
      <c r="E64" s="569"/>
      <c r="F64" s="569"/>
      <c r="G64" s="569"/>
      <c r="H64" s="569"/>
      <c r="I64" s="569"/>
      <c r="J64" s="569"/>
      <c r="K64" s="569"/>
      <c r="L64" s="569"/>
      <c r="M64" s="569"/>
      <c r="N64" s="569"/>
      <c r="O64" s="569"/>
      <c r="P64" s="569"/>
      <c r="Q64" s="569"/>
      <c r="R64" s="569"/>
      <c r="S64" s="153"/>
      <c r="T64" s="2"/>
    </row>
    <row r="65" spans="1:20" ht="18" x14ac:dyDescent="0.2">
      <c r="A65" s="3"/>
      <c r="B65" s="3"/>
      <c r="C65" s="482"/>
      <c r="D65" s="569"/>
      <c r="E65" s="569"/>
      <c r="F65" s="569"/>
      <c r="G65" s="569"/>
      <c r="H65" s="569"/>
      <c r="I65" s="569"/>
      <c r="J65" s="569"/>
      <c r="K65" s="569"/>
      <c r="L65" s="569"/>
      <c r="M65" s="569"/>
      <c r="N65" s="569"/>
      <c r="O65" s="569"/>
      <c r="P65" s="569"/>
      <c r="Q65" s="569"/>
      <c r="R65" s="569"/>
      <c r="S65" s="153"/>
      <c r="T65" s="2"/>
    </row>
    <row r="66" spans="1:20" ht="18" x14ac:dyDescent="0.2">
      <c r="A66" s="2"/>
      <c r="B66" s="2"/>
      <c r="C66" s="481"/>
      <c r="D66" s="558"/>
      <c r="E66" s="558"/>
      <c r="F66" s="558"/>
      <c r="G66" s="558"/>
      <c r="H66" s="558"/>
      <c r="I66" s="558"/>
      <c r="J66" s="558"/>
      <c r="K66" s="558"/>
      <c r="L66" s="558"/>
      <c r="M66" s="558"/>
      <c r="N66" s="558"/>
      <c r="O66" s="558"/>
      <c r="P66" s="558"/>
      <c r="Q66" s="558"/>
      <c r="R66" s="558"/>
      <c r="S66" s="2"/>
      <c r="T66" s="2"/>
    </row>
    <row r="67" spans="1:20" ht="18" x14ac:dyDescent="0.2">
      <c r="A67" s="2"/>
      <c r="B67" s="2"/>
      <c r="C67" s="475"/>
      <c r="D67" s="558"/>
      <c r="E67" s="558"/>
      <c r="F67" s="558"/>
      <c r="G67" s="558"/>
      <c r="H67" s="558"/>
      <c r="I67" s="558"/>
      <c r="J67" s="558"/>
      <c r="K67" s="558"/>
      <c r="L67" s="558"/>
      <c r="M67" s="558"/>
      <c r="N67" s="558"/>
      <c r="O67" s="558"/>
      <c r="P67" s="558"/>
      <c r="Q67" s="558"/>
      <c r="R67" s="558"/>
      <c r="S67" s="2"/>
      <c r="T67" s="2"/>
    </row>
    <row r="68" spans="1:20" ht="18" x14ac:dyDescent="0.2">
      <c r="A68" s="2"/>
      <c r="B68" s="2"/>
      <c r="C68" s="476"/>
      <c r="D68" s="558"/>
      <c r="E68" s="558"/>
      <c r="F68" s="558"/>
      <c r="G68" s="558"/>
      <c r="H68" s="558"/>
      <c r="I68" s="558"/>
      <c r="J68" s="558"/>
      <c r="K68" s="558"/>
      <c r="L68" s="558"/>
      <c r="M68" s="558"/>
      <c r="N68" s="558"/>
      <c r="O68" s="558"/>
      <c r="P68" s="558"/>
      <c r="Q68" s="558"/>
      <c r="R68" s="558"/>
      <c r="S68" s="2"/>
      <c r="T68" s="2"/>
    </row>
    <row r="69" spans="1:20" ht="18" x14ac:dyDescent="0.25">
      <c r="A69" s="2"/>
      <c r="B69" s="2"/>
      <c r="C69" s="475"/>
      <c r="D69" s="559"/>
      <c r="E69" s="559"/>
      <c r="F69" s="559"/>
      <c r="G69" s="559"/>
      <c r="H69" s="559"/>
      <c r="I69" s="559"/>
      <c r="J69" s="559"/>
      <c r="K69" s="559"/>
      <c r="L69" s="559"/>
      <c r="M69" s="559"/>
      <c r="N69" s="559"/>
      <c r="O69" s="559"/>
      <c r="P69" s="559"/>
      <c r="Q69" s="559"/>
      <c r="R69" s="559"/>
      <c r="S69" s="2"/>
      <c r="T69" s="2"/>
    </row>
    <row r="70" spans="1:20" x14ac:dyDescent="0.2">
      <c r="A70" s="2"/>
      <c r="B70" s="2"/>
      <c r="C70" s="477"/>
      <c r="D70" s="558"/>
      <c r="E70" s="558"/>
      <c r="F70" s="558"/>
      <c r="G70" s="558"/>
      <c r="H70" s="558"/>
      <c r="I70" s="558"/>
      <c r="J70" s="558"/>
      <c r="K70" s="558"/>
      <c r="L70" s="558"/>
      <c r="M70" s="558"/>
      <c r="N70" s="558"/>
      <c r="O70" s="558"/>
      <c r="P70" s="558"/>
      <c r="Q70" s="558"/>
      <c r="R70" s="558"/>
      <c r="S70" s="2"/>
      <c r="T70" s="2"/>
    </row>
    <row r="71" spans="1:20" x14ac:dyDescent="0.2">
      <c r="A71" s="2"/>
      <c r="B71" s="2"/>
      <c r="C71" s="2"/>
      <c r="D71" s="2"/>
      <c r="E71" s="2"/>
      <c r="F71" s="2"/>
      <c r="G71" s="2"/>
      <c r="H71" s="2"/>
      <c r="I71" s="2"/>
      <c r="J71" s="2"/>
      <c r="K71" s="2"/>
      <c r="L71" s="2"/>
      <c r="M71" s="2"/>
      <c r="N71" s="2"/>
      <c r="O71" s="2"/>
      <c r="P71" s="2"/>
      <c r="Q71" s="2"/>
      <c r="R71" s="2"/>
      <c r="S71" s="2"/>
      <c r="T71" s="2"/>
    </row>
  </sheetData>
  <sheetProtection algorithmName="SHA-512" hashValue="0ElLBQ4bpyB9BDQuHYfvN9lbNv+WWEyJWVA1LV5+NYt6wgQrEE21mwed+h3xdh8xycl/L6/EDQONmXfZtCNzbw==" saltValue="eFro3A3p7V/S3K8Xz4yLbg==" spinCount="100000" sheet="1" objects="1" scenarios="1" formatCells="0" formatColumns="0" formatRows="0"/>
  <mergeCells count="17">
    <mergeCell ref="B5:B6"/>
    <mergeCell ref="B3:B4"/>
    <mergeCell ref="C64:R64"/>
    <mergeCell ref="C65:R65"/>
    <mergeCell ref="C63:R63"/>
    <mergeCell ref="C2:R2"/>
    <mergeCell ref="C5:C6"/>
    <mergeCell ref="R5:R6"/>
    <mergeCell ref="C70:R70"/>
    <mergeCell ref="C67:R67"/>
    <mergeCell ref="C68:R68"/>
    <mergeCell ref="C69:R69"/>
    <mergeCell ref="E5:Q5"/>
    <mergeCell ref="D5:D6"/>
    <mergeCell ref="C62:R62"/>
    <mergeCell ref="C66:R66"/>
    <mergeCell ref="C61:R61"/>
  </mergeCells>
  <phoneticPr fontId="0" type="noConversion"/>
  <hyperlinks>
    <hyperlink ref="C3" location="Instructions!B68" tooltip="Go to Instruction Sheet" display="Budget by Month" xr:uid="{00000000-0004-0000-0D00-000000000000}"/>
  </hyperlinks>
  <printOptions horizontalCentered="1" verticalCentered="1"/>
  <pageMargins left="0.74803149606299213" right="0.74803149606299213" top="0.98425196850393704" bottom="0.98425196850393704" header="0.51181102362204722" footer="0.51181102362204722"/>
  <pageSetup paperSize="9" scale="56" orientation="landscape" horizontalDpi="360" verticalDpi="0" copies="0" r:id="rId1"/>
  <headerFooter alignWithMargins="0"/>
  <drawing r:id="rId2"/>
  <legacyDrawing r:id="rId3"/>
  <controls>
    <mc:AlternateContent xmlns:mc="http://schemas.openxmlformats.org/markup-compatibility/2006">
      <mc:Choice Requires="x14">
        <control shapeId="475156" r:id="rId4" name="UpdAllButton2">
          <controlPr defaultSize="0" autoFill="0" autoLine="0" r:id="rId5">
            <anchor moveWithCells="1">
              <from>
                <xdr:col>1</xdr:col>
                <xdr:colOff>28575</xdr:colOff>
                <xdr:row>2</xdr:row>
                <xdr:rowOff>28575</xdr:rowOff>
              </from>
              <to>
                <xdr:col>1</xdr:col>
                <xdr:colOff>504825</xdr:colOff>
                <xdr:row>3</xdr:row>
                <xdr:rowOff>276225</xdr:rowOff>
              </to>
            </anchor>
          </controlPr>
        </control>
      </mc:Choice>
      <mc:Fallback>
        <control shapeId="475156" r:id="rId4" name="UpdAllButton2"/>
      </mc:Fallback>
    </mc:AlternateContent>
    <mc:AlternateContent xmlns:mc="http://schemas.openxmlformats.org/markup-compatibility/2006">
      <mc:Choice Requires="x14">
        <control shapeId="475155" r:id="rId6" name="DepAllButton">
          <controlPr defaultSize="0" autoFill="0" autoLine="0" r:id="rId7">
            <anchor moveWithCells="1">
              <from>
                <xdr:col>1</xdr:col>
                <xdr:colOff>28575</xdr:colOff>
                <xdr:row>54</xdr:row>
                <xdr:rowOff>114300</xdr:rowOff>
              </from>
              <to>
                <xdr:col>1</xdr:col>
                <xdr:colOff>504825</xdr:colOff>
                <xdr:row>56</xdr:row>
                <xdr:rowOff>47625</xdr:rowOff>
              </to>
            </anchor>
          </controlPr>
        </control>
      </mc:Choice>
      <mc:Fallback>
        <control shapeId="475155" r:id="rId6" name="DepAllButton"/>
      </mc:Fallback>
    </mc:AlternateContent>
    <mc:AlternateContent xmlns:mc="http://schemas.openxmlformats.org/markup-compatibility/2006">
      <mc:Choice Requires="x14">
        <control shapeId="475154" r:id="rId8" name="UpdAllButton">
          <controlPr defaultSize="0" autoFill="0" autoLine="0" r:id="rId9">
            <anchor moveWithCells="1">
              <from>
                <xdr:col>1</xdr:col>
                <xdr:colOff>28575</xdr:colOff>
                <xdr:row>56</xdr:row>
                <xdr:rowOff>66675</xdr:rowOff>
              </from>
              <to>
                <xdr:col>1</xdr:col>
                <xdr:colOff>504825</xdr:colOff>
                <xdr:row>59</xdr:row>
                <xdr:rowOff>133350</xdr:rowOff>
              </to>
            </anchor>
          </controlPr>
        </control>
      </mc:Choice>
      <mc:Fallback>
        <control shapeId="475154" r:id="rId8" name="UpdAllButton"/>
      </mc:Fallback>
    </mc:AlternateContent>
    <mc:AlternateContent xmlns:mc="http://schemas.openxmlformats.org/markup-compatibility/2006">
      <mc:Choice Requires="x14">
        <control shapeId="475153" r:id="rId10" name="OtherOHButton">
          <controlPr defaultSize="0" autoFill="0" autoLine="0" r:id="rId11">
            <anchor moveWithCells="1">
              <from>
                <xdr:col>1</xdr:col>
                <xdr:colOff>28575</xdr:colOff>
                <xdr:row>43</xdr:row>
                <xdr:rowOff>104775</xdr:rowOff>
              </from>
              <to>
                <xdr:col>1</xdr:col>
                <xdr:colOff>504825</xdr:colOff>
                <xdr:row>45</xdr:row>
                <xdr:rowOff>38100</xdr:rowOff>
              </to>
            </anchor>
          </controlPr>
        </control>
      </mc:Choice>
      <mc:Fallback>
        <control shapeId="475153" r:id="rId10" name="OtherOHButton"/>
      </mc:Fallback>
    </mc:AlternateContent>
    <mc:AlternateContent xmlns:mc="http://schemas.openxmlformats.org/markup-compatibility/2006">
      <mc:Choice Requires="x14">
        <control shapeId="475152" r:id="rId12" name="IntButton">
          <controlPr defaultSize="0" autoFill="0" autoLine="0" r:id="rId13">
            <anchor moveWithCells="1">
              <from>
                <xdr:col>1</xdr:col>
                <xdr:colOff>28575</xdr:colOff>
                <xdr:row>41</xdr:row>
                <xdr:rowOff>104775</xdr:rowOff>
              </from>
              <to>
                <xdr:col>1</xdr:col>
                <xdr:colOff>504825</xdr:colOff>
                <xdr:row>43</xdr:row>
                <xdr:rowOff>38100</xdr:rowOff>
              </to>
            </anchor>
          </controlPr>
        </control>
      </mc:Choice>
      <mc:Fallback>
        <control shapeId="475152" r:id="rId12" name="IntButton"/>
      </mc:Fallback>
    </mc:AlternateContent>
    <mc:AlternateContent xmlns:mc="http://schemas.openxmlformats.org/markup-compatibility/2006">
      <mc:Choice Requires="x14">
        <control shapeId="475151" r:id="rId14" name="LabOwnOHButton">
          <controlPr defaultSize="0" autoFill="0" autoLine="0" r:id="rId15">
            <anchor moveWithCells="1">
              <from>
                <xdr:col>1</xdr:col>
                <xdr:colOff>28575</xdr:colOff>
                <xdr:row>39</xdr:row>
                <xdr:rowOff>104775</xdr:rowOff>
              </from>
              <to>
                <xdr:col>1</xdr:col>
                <xdr:colOff>504825</xdr:colOff>
                <xdr:row>41</xdr:row>
                <xdr:rowOff>38100</xdr:rowOff>
              </to>
            </anchor>
          </controlPr>
        </control>
      </mc:Choice>
      <mc:Fallback>
        <control shapeId="475151" r:id="rId14" name="LabOwnOHButton"/>
      </mc:Fallback>
    </mc:AlternateContent>
    <mc:AlternateContent xmlns:mc="http://schemas.openxmlformats.org/markup-compatibility/2006">
      <mc:Choice Requires="x14">
        <control shapeId="475150" r:id="rId16" name="OthCOSButton">
          <controlPr defaultSize="0" autoFill="0" autoLine="0" r:id="rId17">
            <anchor moveWithCells="1">
              <from>
                <xdr:col>1</xdr:col>
                <xdr:colOff>28575</xdr:colOff>
                <xdr:row>25</xdr:row>
                <xdr:rowOff>104775</xdr:rowOff>
              </from>
              <to>
                <xdr:col>1</xdr:col>
                <xdr:colOff>504825</xdr:colOff>
                <xdr:row>27</xdr:row>
                <xdr:rowOff>38100</xdr:rowOff>
              </to>
            </anchor>
          </controlPr>
        </control>
      </mc:Choice>
      <mc:Fallback>
        <control shapeId="475150" r:id="rId16" name="OthCOSButton"/>
      </mc:Fallback>
    </mc:AlternateContent>
    <mc:AlternateContent xmlns:mc="http://schemas.openxmlformats.org/markup-compatibility/2006">
      <mc:Choice Requires="x14">
        <control shapeId="475149" r:id="rId18" name="DisButton">
          <controlPr defaultSize="0" autoFill="0" autoLine="0" r:id="rId19">
            <anchor moveWithCells="1">
              <from>
                <xdr:col>1</xdr:col>
                <xdr:colOff>28575</xdr:colOff>
                <xdr:row>21</xdr:row>
                <xdr:rowOff>104775</xdr:rowOff>
              </from>
              <to>
                <xdr:col>1</xdr:col>
                <xdr:colOff>504825</xdr:colOff>
                <xdr:row>23</xdr:row>
                <xdr:rowOff>38100</xdr:rowOff>
              </to>
            </anchor>
          </controlPr>
        </control>
      </mc:Choice>
      <mc:Fallback>
        <control shapeId="475149" r:id="rId18" name="DisButton"/>
      </mc:Fallback>
    </mc:AlternateContent>
    <mc:AlternateContent xmlns:mc="http://schemas.openxmlformats.org/markup-compatibility/2006">
      <mc:Choice Requires="x14">
        <control shapeId="475148" r:id="rId20" name="MarButton">
          <controlPr defaultSize="0" autoFill="0" autoLine="0" r:id="rId21">
            <anchor moveWithCells="1">
              <from>
                <xdr:col>1</xdr:col>
                <xdr:colOff>28575</xdr:colOff>
                <xdr:row>23</xdr:row>
                <xdr:rowOff>104775</xdr:rowOff>
              </from>
              <to>
                <xdr:col>1</xdr:col>
                <xdr:colOff>504825</xdr:colOff>
                <xdr:row>25</xdr:row>
                <xdr:rowOff>38100</xdr:rowOff>
              </to>
            </anchor>
          </controlPr>
        </control>
      </mc:Choice>
      <mc:Fallback>
        <control shapeId="475148" r:id="rId20" name="MarButton"/>
      </mc:Fallback>
    </mc:AlternateContent>
    <mc:AlternateContent xmlns:mc="http://schemas.openxmlformats.org/markup-compatibility/2006">
      <mc:Choice Requires="x14">
        <control shapeId="475147" r:id="rId22" name="LocButton">
          <controlPr defaultSize="0" autoFill="0" autoLine="0" r:id="rId23">
            <anchor moveWithCells="1">
              <from>
                <xdr:col>1</xdr:col>
                <xdr:colOff>28575</xdr:colOff>
                <xdr:row>33</xdr:row>
                <xdr:rowOff>95250</xdr:rowOff>
              </from>
              <to>
                <xdr:col>1</xdr:col>
                <xdr:colOff>504825</xdr:colOff>
                <xdr:row>35</xdr:row>
                <xdr:rowOff>28575</xdr:rowOff>
              </to>
            </anchor>
          </controlPr>
        </control>
      </mc:Choice>
      <mc:Fallback>
        <control shapeId="475147" r:id="rId22" name="LocButton"/>
      </mc:Fallback>
    </mc:AlternateContent>
    <mc:AlternateContent xmlns:mc="http://schemas.openxmlformats.org/markup-compatibility/2006">
      <mc:Choice Requires="x14">
        <control shapeId="475146" r:id="rId24" name="AdmButton">
          <controlPr defaultSize="0" autoFill="0" autoLine="0" r:id="rId25">
            <anchor moveWithCells="1">
              <from>
                <xdr:col>1</xdr:col>
                <xdr:colOff>28575</xdr:colOff>
                <xdr:row>35</xdr:row>
                <xdr:rowOff>104775</xdr:rowOff>
              </from>
              <to>
                <xdr:col>1</xdr:col>
                <xdr:colOff>504825</xdr:colOff>
                <xdr:row>37</xdr:row>
                <xdr:rowOff>38100</xdr:rowOff>
              </to>
            </anchor>
          </controlPr>
        </control>
      </mc:Choice>
      <mc:Fallback>
        <control shapeId="475146" r:id="rId24" name="AdmButton"/>
      </mc:Fallback>
    </mc:AlternateContent>
    <mc:AlternateContent xmlns:mc="http://schemas.openxmlformats.org/markup-compatibility/2006">
      <mc:Choice Requires="x14">
        <control shapeId="475145" r:id="rId26" name="LabExOwnOHButton">
          <controlPr defaultSize="0" autoFill="0" autoLine="0" r:id="rId27">
            <anchor moveWithCells="1">
              <from>
                <xdr:col>1</xdr:col>
                <xdr:colOff>28575</xdr:colOff>
                <xdr:row>37</xdr:row>
                <xdr:rowOff>104775</xdr:rowOff>
              </from>
              <to>
                <xdr:col>1</xdr:col>
                <xdr:colOff>504825</xdr:colOff>
                <xdr:row>39</xdr:row>
                <xdr:rowOff>38100</xdr:rowOff>
              </to>
            </anchor>
          </controlPr>
        </control>
      </mc:Choice>
      <mc:Fallback>
        <control shapeId="475145" r:id="rId26" name="LabExOwnOHButton"/>
      </mc:Fallback>
    </mc:AlternateContent>
    <mc:AlternateContent xmlns:mc="http://schemas.openxmlformats.org/markup-compatibility/2006">
      <mc:Choice Requires="x14">
        <control shapeId="475144" r:id="rId28" name="YeaMonButton">
          <controlPr defaultSize="0" autoFill="0" autoLine="0" r:id="rId29">
            <anchor moveWithCells="1">
              <from>
                <xdr:col>1</xdr:col>
                <xdr:colOff>28575</xdr:colOff>
                <xdr:row>4</xdr:row>
                <xdr:rowOff>38100</xdr:rowOff>
              </from>
              <to>
                <xdr:col>1</xdr:col>
                <xdr:colOff>504825</xdr:colOff>
                <xdr:row>5</xdr:row>
                <xdr:rowOff>133350</xdr:rowOff>
              </to>
            </anchor>
          </controlPr>
        </control>
      </mc:Choice>
      <mc:Fallback>
        <control shapeId="475144" r:id="rId28" name="YeaMonButton"/>
      </mc:Fallback>
    </mc:AlternateContent>
    <mc:AlternateContent xmlns:mc="http://schemas.openxmlformats.org/markup-compatibility/2006">
      <mc:Choice Requires="x14">
        <control shapeId="475143" r:id="rId30" name="LabExOwnCOSButton">
          <controlPr defaultSize="0" autoFill="0" autoLine="0" r:id="rId31">
            <anchor moveWithCells="1">
              <from>
                <xdr:col>1</xdr:col>
                <xdr:colOff>28575</xdr:colOff>
                <xdr:row>17</xdr:row>
                <xdr:rowOff>104775</xdr:rowOff>
              </from>
              <to>
                <xdr:col>1</xdr:col>
                <xdr:colOff>504825</xdr:colOff>
                <xdr:row>19</xdr:row>
                <xdr:rowOff>38100</xdr:rowOff>
              </to>
            </anchor>
          </controlPr>
        </control>
      </mc:Choice>
      <mc:Fallback>
        <control shapeId="475143" r:id="rId30" name="LabExOwnCOSButton"/>
      </mc:Fallback>
    </mc:AlternateContent>
    <mc:AlternateContent xmlns:mc="http://schemas.openxmlformats.org/markup-compatibility/2006">
      <mc:Choice Requires="x14">
        <control shapeId="475142" r:id="rId32" name="MatSupButton">
          <controlPr defaultSize="0" autoFill="0" autoLine="0" r:id="rId33">
            <anchor moveWithCells="1">
              <from>
                <xdr:col>1</xdr:col>
                <xdr:colOff>28575</xdr:colOff>
                <xdr:row>15</xdr:row>
                <xdr:rowOff>104775</xdr:rowOff>
              </from>
              <to>
                <xdr:col>1</xdr:col>
                <xdr:colOff>504825</xdr:colOff>
                <xdr:row>17</xdr:row>
                <xdr:rowOff>38100</xdr:rowOff>
              </to>
            </anchor>
          </controlPr>
        </control>
      </mc:Choice>
      <mc:Fallback>
        <control shapeId="475142" r:id="rId32" name="MatSupButton"/>
      </mc:Fallback>
    </mc:AlternateContent>
    <mc:AlternateContent xmlns:mc="http://schemas.openxmlformats.org/markup-compatibility/2006">
      <mc:Choice Requires="x14">
        <control shapeId="475141" r:id="rId34" name="LabOwnCOSButton">
          <controlPr defaultSize="0" autoFill="0" autoLine="0" r:id="rId35">
            <anchor moveWithCells="1">
              <from>
                <xdr:col>1</xdr:col>
                <xdr:colOff>28575</xdr:colOff>
                <xdr:row>19</xdr:row>
                <xdr:rowOff>104775</xdr:rowOff>
              </from>
              <to>
                <xdr:col>1</xdr:col>
                <xdr:colOff>504825</xdr:colOff>
                <xdr:row>21</xdr:row>
                <xdr:rowOff>38100</xdr:rowOff>
              </to>
            </anchor>
          </controlPr>
        </control>
      </mc:Choice>
      <mc:Fallback>
        <control shapeId="475141" r:id="rId34" name="LabOwnCOSButton"/>
      </mc:Fallback>
    </mc:AlternateContent>
    <mc:AlternateContent xmlns:mc="http://schemas.openxmlformats.org/markup-compatibility/2006">
      <mc:Choice Requires="x14">
        <control shapeId="475140" r:id="rId36" name="GroRevButton">
          <controlPr defaultSize="0" autoFill="0" autoLine="0" r:id="rId37">
            <anchor moveWithCells="1">
              <from>
                <xdr:col>1</xdr:col>
                <xdr:colOff>19050</xdr:colOff>
                <xdr:row>8</xdr:row>
                <xdr:rowOff>114300</xdr:rowOff>
              </from>
              <to>
                <xdr:col>1</xdr:col>
                <xdr:colOff>495300</xdr:colOff>
                <xdr:row>10</xdr:row>
                <xdr:rowOff>47625</xdr:rowOff>
              </to>
            </anchor>
          </controlPr>
        </control>
      </mc:Choice>
      <mc:Fallback>
        <control shapeId="475140" r:id="rId36" name="GroRevButton"/>
      </mc:Fallback>
    </mc:AlternateContent>
    <mc:AlternateContent xmlns:mc="http://schemas.openxmlformats.org/markup-compatibility/2006">
      <mc:Choice Requires="x14">
        <control shapeId="475139" r:id="rId38" name="BasRevButton">
          <controlPr defaultSize="0" autoFill="0" autoLine="0" autoPict="0" r:id="rId39">
            <anchor moveWithCells="1">
              <from>
                <xdr:col>1</xdr:col>
                <xdr:colOff>28575</xdr:colOff>
                <xdr:row>6</xdr:row>
                <xdr:rowOff>114300</xdr:rowOff>
              </from>
              <to>
                <xdr:col>1</xdr:col>
                <xdr:colOff>504825</xdr:colOff>
                <xdr:row>8</xdr:row>
                <xdr:rowOff>47625</xdr:rowOff>
              </to>
            </anchor>
          </controlPr>
        </control>
      </mc:Choice>
      <mc:Fallback>
        <control shapeId="475139" r:id="rId38" name="BasRevButton"/>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
    <pageSetUpPr fitToPage="1"/>
  </sheetPr>
  <dimension ref="A1:E78"/>
  <sheetViews>
    <sheetView showGridLines="0" zoomScaleNormal="100" workbookViewId="0"/>
  </sheetViews>
  <sheetFormatPr defaultRowHeight="12.75" x14ac:dyDescent="0.2"/>
  <cols>
    <col min="1" max="1" width="3.28515625" style="1" customWidth="1"/>
    <col min="2" max="2" width="17.7109375" style="9" customWidth="1"/>
    <col min="3" max="3" width="2.85546875" style="1" customWidth="1"/>
    <col min="4" max="4" width="79.42578125" style="14" customWidth="1"/>
    <col min="5" max="5" width="4.42578125" style="1" customWidth="1"/>
    <col min="6" max="16384" width="9.140625" style="1"/>
  </cols>
  <sheetData>
    <row r="1" spans="1:5" ht="3.75" customHeight="1" x14ac:dyDescent="0.2">
      <c r="A1" s="5"/>
      <c r="B1" s="8"/>
      <c r="C1" s="6"/>
      <c r="D1" s="13"/>
      <c r="E1" s="5"/>
    </row>
    <row r="2" spans="1:5" ht="18" x14ac:dyDescent="0.25">
      <c r="A2" s="5"/>
      <c r="B2" s="531" t="s">
        <v>215</v>
      </c>
      <c r="C2" s="532"/>
      <c r="D2" s="532"/>
      <c r="E2" s="7"/>
    </row>
    <row r="3" spans="1:5" x14ac:dyDescent="0.2">
      <c r="A3" s="5"/>
      <c r="B3" s="580" t="s">
        <v>0</v>
      </c>
      <c r="C3" s="581"/>
      <c r="D3" s="582"/>
      <c r="E3" s="7"/>
    </row>
    <row r="4" spans="1:5" ht="115.5" customHeight="1" x14ac:dyDescent="0.2">
      <c r="A4" s="5"/>
      <c r="B4" s="10" t="s">
        <v>190</v>
      </c>
      <c r="C4" s="11"/>
      <c r="D4" s="455" t="s">
        <v>217</v>
      </c>
      <c r="E4" s="7"/>
    </row>
    <row r="5" spans="1:5" x14ac:dyDescent="0.2">
      <c r="A5" s="5"/>
      <c r="B5" s="10"/>
      <c r="C5" s="12"/>
      <c r="D5" s="246"/>
      <c r="E5" s="7"/>
    </row>
    <row r="6" spans="1:5" x14ac:dyDescent="0.2">
      <c r="A6" s="5"/>
      <c r="B6" s="577" t="s">
        <v>189</v>
      </c>
      <c r="C6" s="578"/>
      <c r="D6" s="579"/>
      <c r="E6" s="7"/>
    </row>
    <row r="7" spans="1:5" x14ac:dyDescent="0.2">
      <c r="A7" s="250"/>
      <c r="B7" s="583" t="s">
        <v>52</v>
      </c>
      <c r="C7" s="584"/>
      <c r="D7" s="585"/>
      <c r="E7" s="7"/>
    </row>
    <row r="8" spans="1:5" ht="129" customHeight="1" x14ac:dyDescent="0.2">
      <c r="A8" s="250"/>
      <c r="B8" s="240" t="str">
        <f>+Input!B9</f>
        <v>Current Operating Performance Data</v>
      </c>
      <c r="C8" s="251"/>
      <c r="D8" s="92" t="s">
        <v>16</v>
      </c>
      <c r="E8" s="7"/>
    </row>
    <row r="9" spans="1:5" ht="25.5" x14ac:dyDescent="0.2">
      <c r="A9" s="250"/>
      <c r="B9" s="256" t="str">
        <f>+Input!B11</f>
        <v>Business Name or Identifier</v>
      </c>
      <c r="C9" s="252"/>
      <c r="D9" s="92" t="s">
        <v>1</v>
      </c>
      <c r="E9" s="7"/>
    </row>
    <row r="10" spans="1:5" x14ac:dyDescent="0.2">
      <c r="A10" s="250"/>
      <c r="B10" s="241" t="str">
        <f>+Input!B13</f>
        <v>Business Revenue</v>
      </c>
      <c r="C10" s="252"/>
      <c r="D10" s="92" t="s">
        <v>2</v>
      </c>
      <c r="E10" s="7"/>
    </row>
    <row r="11" spans="1:5" ht="25.5" x14ac:dyDescent="0.2">
      <c r="A11" s="250"/>
      <c r="B11" s="242" t="s">
        <v>127</v>
      </c>
      <c r="C11" s="405"/>
      <c r="D11" s="92" t="s">
        <v>3</v>
      </c>
      <c r="E11" s="7"/>
    </row>
    <row r="12" spans="1:5" ht="25.5" x14ac:dyDescent="0.2">
      <c r="A12" s="250"/>
      <c r="B12" s="241" t="str">
        <f>+Input!B16</f>
        <v>Variable Costs</v>
      </c>
      <c r="C12" s="230"/>
      <c r="D12" s="92" t="s">
        <v>17</v>
      </c>
      <c r="E12" s="7"/>
    </row>
    <row r="13" spans="1:5" ht="25.5" x14ac:dyDescent="0.2">
      <c r="A13" s="250"/>
      <c r="B13" s="222" t="str">
        <f>+Input!B17</f>
        <v>Materials &amp; Supplies</v>
      </c>
      <c r="C13" s="231"/>
      <c r="D13" s="92" t="s">
        <v>18</v>
      </c>
      <c r="E13" s="7"/>
    </row>
    <row r="14" spans="1:5" ht="38.25" x14ac:dyDescent="0.2">
      <c r="A14" s="5"/>
      <c r="B14" s="222" t="str">
        <f>+Input!B18</f>
        <v>Labor excluding Owner</v>
      </c>
      <c r="C14" s="231"/>
      <c r="D14" s="92" t="s">
        <v>19</v>
      </c>
      <c r="E14" s="7"/>
    </row>
    <row r="15" spans="1:5" ht="51" x14ac:dyDescent="0.2">
      <c r="A15" s="5"/>
      <c r="B15" s="222" t="str">
        <f>+Input!B19</f>
        <v>Labor Owner</v>
      </c>
      <c r="C15" s="232"/>
      <c r="D15" s="92" t="s">
        <v>20</v>
      </c>
      <c r="E15" s="7"/>
    </row>
    <row r="16" spans="1:5" ht="25.5" x14ac:dyDescent="0.2">
      <c r="A16" s="5"/>
      <c r="B16" s="222" t="str">
        <f>+Input!B20</f>
        <v>Distribution</v>
      </c>
      <c r="C16" s="232"/>
      <c r="D16" s="92" t="s">
        <v>21</v>
      </c>
      <c r="E16" s="7"/>
    </row>
    <row r="17" spans="1:5" ht="63.75" x14ac:dyDescent="0.2">
      <c r="A17" s="5"/>
      <c r="B17" s="222" t="str">
        <f>+Input!B21</f>
        <v>Marketing</v>
      </c>
      <c r="C17" s="232"/>
      <c r="D17" s="92" t="s">
        <v>22</v>
      </c>
      <c r="E17" s="7"/>
    </row>
    <row r="18" spans="1:5" x14ac:dyDescent="0.2">
      <c r="A18" s="5"/>
      <c r="B18" s="222" t="str">
        <f>+Input!B22</f>
        <v>Other</v>
      </c>
      <c r="C18" s="232"/>
      <c r="D18" s="92" t="s">
        <v>23</v>
      </c>
      <c r="E18" s="7"/>
    </row>
    <row r="19" spans="1:5" ht="25.5" x14ac:dyDescent="0.2">
      <c r="A19" s="5"/>
      <c r="B19" s="243" t="str">
        <f>+Input!B23</f>
        <v>Total Variable Costs</v>
      </c>
      <c r="C19" s="233"/>
      <c r="D19" s="92" t="s">
        <v>24</v>
      </c>
      <c r="E19" s="7"/>
    </row>
    <row r="20" spans="1:5" ht="26.25" customHeight="1" x14ac:dyDescent="0.2">
      <c r="A20" s="5"/>
      <c r="B20" s="241" t="str">
        <f>+Input!B24</f>
        <v>Fixed Costs</v>
      </c>
      <c r="C20" s="234"/>
      <c r="D20" s="92" t="s">
        <v>25</v>
      </c>
      <c r="E20" s="7"/>
    </row>
    <row r="21" spans="1:5" ht="38.25" x14ac:dyDescent="0.2">
      <c r="A21" s="5"/>
      <c r="B21" s="222" t="str">
        <f>+Input!B25</f>
        <v>Location</v>
      </c>
      <c r="C21" s="231"/>
      <c r="D21" s="92" t="s">
        <v>26</v>
      </c>
      <c r="E21" s="7"/>
    </row>
    <row r="22" spans="1:5" ht="25.5" x14ac:dyDescent="0.2">
      <c r="A22" s="5"/>
      <c r="B22" s="222" t="str">
        <f>+Input!B26</f>
        <v>Administration</v>
      </c>
      <c r="C22" s="232"/>
      <c r="D22" s="92" t="s">
        <v>27</v>
      </c>
      <c r="E22" s="7"/>
    </row>
    <row r="23" spans="1:5" ht="38.25" x14ac:dyDescent="0.2">
      <c r="A23" s="5"/>
      <c r="B23" s="222" t="str">
        <f>+Input!B27</f>
        <v>Labor excluding Owner</v>
      </c>
      <c r="C23" s="232"/>
      <c r="D23" s="92" t="s">
        <v>28</v>
      </c>
      <c r="E23" s="7"/>
    </row>
    <row r="24" spans="1:5" ht="51" x14ac:dyDescent="0.2">
      <c r="A24" s="5"/>
      <c r="B24" s="222" t="str">
        <f>+Input!B28</f>
        <v>Labor Owner</v>
      </c>
      <c r="C24" s="232"/>
      <c r="D24" s="92" t="s">
        <v>29</v>
      </c>
      <c r="E24" s="7"/>
    </row>
    <row r="25" spans="1:5" ht="25.5" x14ac:dyDescent="0.2">
      <c r="A25" s="5"/>
      <c r="B25" s="222" t="str">
        <f>+Input!B29</f>
        <v>Interest Costs</v>
      </c>
      <c r="C25" s="232"/>
      <c r="D25" s="92" t="s">
        <v>30</v>
      </c>
      <c r="E25" s="7"/>
    </row>
    <row r="26" spans="1:5" x14ac:dyDescent="0.2">
      <c r="A26" s="5"/>
      <c r="B26" s="222" t="str">
        <f>+Input!B30</f>
        <v>Other</v>
      </c>
      <c r="C26" s="232"/>
      <c r="D26" s="92" t="s">
        <v>31</v>
      </c>
      <c r="E26" s="7"/>
    </row>
    <row r="27" spans="1:5" ht="25.5" x14ac:dyDescent="0.2">
      <c r="A27" s="5"/>
      <c r="B27" s="243" t="str">
        <f>+Input!B31</f>
        <v>Total Fixed Costs</v>
      </c>
      <c r="C27" s="235"/>
      <c r="D27" s="92" t="s">
        <v>32</v>
      </c>
      <c r="E27" s="7"/>
    </row>
    <row r="28" spans="1:5" ht="51.75" customHeight="1" x14ac:dyDescent="0.2">
      <c r="A28" s="5"/>
      <c r="B28" s="243" t="str">
        <f>+Input!B32</f>
        <v>Operating Surplus</v>
      </c>
      <c r="C28" s="236"/>
      <c r="D28" s="93" t="s">
        <v>33</v>
      </c>
      <c r="E28" s="7"/>
    </row>
    <row r="29" spans="1:5" ht="38.25" x14ac:dyDescent="0.2">
      <c r="A29" s="5"/>
      <c r="B29" s="244" t="str">
        <f>+Input!B33</f>
        <v>Owner Cash Flow</v>
      </c>
      <c r="C29" s="237"/>
      <c r="D29" s="247" t="s">
        <v>65</v>
      </c>
      <c r="E29" s="7"/>
    </row>
    <row r="30" spans="1:5" ht="102" x14ac:dyDescent="0.2">
      <c r="A30" s="5"/>
      <c r="B30" s="241" t="str">
        <f>+Input!B36</f>
        <v>Forecast Data</v>
      </c>
      <c r="C30" s="238"/>
      <c r="D30" s="92" t="s">
        <v>72</v>
      </c>
      <c r="E30" s="7"/>
    </row>
    <row r="31" spans="1:5" ht="51" x14ac:dyDescent="0.2">
      <c r="A31" s="5"/>
      <c r="B31" s="223" t="str">
        <f>+Input!B38</f>
        <v>Relative Indicator</v>
      </c>
      <c r="C31" s="238"/>
      <c r="D31" s="92" t="s">
        <v>54</v>
      </c>
      <c r="E31" s="7"/>
    </row>
    <row r="32" spans="1:5" ht="51" x14ac:dyDescent="0.2">
      <c r="A32" s="5"/>
      <c r="B32" s="222" t="str">
        <f>+Input!B39</f>
        <v>Level of Competition</v>
      </c>
      <c r="C32" s="224"/>
      <c r="D32" s="92" t="s">
        <v>188</v>
      </c>
      <c r="E32" s="7"/>
    </row>
    <row r="33" spans="1:5" ht="63.75" x14ac:dyDescent="0.2">
      <c r="A33" s="5"/>
      <c r="B33" s="222" t="str">
        <f>+Input!B40</f>
        <v>Market Strength</v>
      </c>
      <c r="C33" s="224"/>
      <c r="D33" s="92" t="s">
        <v>73</v>
      </c>
      <c r="E33" s="7"/>
    </row>
    <row r="34" spans="1:5" ht="63.75" x14ac:dyDescent="0.2">
      <c r="A34" s="5"/>
      <c r="B34" s="222" t="str">
        <f>+Input!B41</f>
        <v>Materials &amp; Supplies Costs</v>
      </c>
      <c r="C34" s="224"/>
      <c r="D34" s="92" t="s">
        <v>34</v>
      </c>
      <c r="E34" s="7"/>
    </row>
    <row r="35" spans="1:5" ht="51.75" customHeight="1" x14ac:dyDescent="0.2">
      <c r="A35" s="5"/>
      <c r="B35" s="222" t="str">
        <f>+Input!B42</f>
        <v>Labor Costs</v>
      </c>
      <c r="C35" s="224"/>
      <c r="D35" s="92" t="s">
        <v>35</v>
      </c>
      <c r="E35" s="7"/>
    </row>
    <row r="36" spans="1:5" ht="63.75" x14ac:dyDescent="0.2">
      <c r="A36" s="5"/>
      <c r="B36" s="222" t="str">
        <f>+Input!B43</f>
        <v>Interest Rates</v>
      </c>
      <c r="C36" s="224"/>
      <c r="D36" s="92" t="s">
        <v>36</v>
      </c>
      <c r="E36" s="7"/>
    </row>
    <row r="37" spans="1:5" ht="102" x14ac:dyDescent="0.2">
      <c r="A37" s="5"/>
      <c r="B37" s="222" t="str">
        <f>+Input!B44</f>
        <v>Business Market Position</v>
      </c>
      <c r="C37" s="224"/>
      <c r="D37" s="456" t="s">
        <v>218</v>
      </c>
      <c r="E37" s="7"/>
    </row>
    <row r="38" spans="1:5" ht="114.75" x14ac:dyDescent="0.2">
      <c r="A38" s="5"/>
      <c r="B38" s="222" t="str">
        <f>+Input!B45</f>
        <v>Variable Cost Efficiency</v>
      </c>
      <c r="C38" s="224"/>
      <c r="D38" s="456" t="s">
        <v>219</v>
      </c>
      <c r="E38" s="7"/>
    </row>
    <row r="39" spans="1:5" ht="89.25" x14ac:dyDescent="0.2">
      <c r="A39" s="5"/>
      <c r="B39" s="222" t="str">
        <f>+Input!B46</f>
        <v>Fixed Cost Efficiency</v>
      </c>
      <c r="C39" s="394"/>
      <c r="D39" s="456" t="s">
        <v>220</v>
      </c>
      <c r="E39" s="7"/>
    </row>
    <row r="40" spans="1:5" ht="140.25" x14ac:dyDescent="0.2">
      <c r="A40" s="5"/>
      <c r="B40" s="222" t="str">
        <f>+Input!B48</f>
        <v>Fixed Cost Flow-on</v>
      </c>
      <c r="C40" s="224"/>
      <c r="D40" s="395" t="s">
        <v>37</v>
      </c>
      <c r="E40" s="7"/>
    </row>
    <row r="41" spans="1:5" ht="51" x14ac:dyDescent="0.2">
      <c r="A41" s="5"/>
      <c r="B41" s="222" t="str">
        <f>+Input!B50</f>
        <v>Owners Time Commitment to Business</v>
      </c>
      <c r="C41" s="225"/>
      <c r="D41" s="93" t="s">
        <v>38</v>
      </c>
      <c r="E41" s="7"/>
    </row>
    <row r="42" spans="1:5" ht="63.75" x14ac:dyDescent="0.2">
      <c r="A42" s="5"/>
      <c r="B42" s="222" t="str">
        <f>+Input!B51</f>
        <v>Replacement Value of Business Assets</v>
      </c>
      <c r="C42" s="225"/>
      <c r="D42" s="92" t="s">
        <v>55</v>
      </c>
      <c r="E42" s="7"/>
    </row>
    <row r="43" spans="1:5" ht="38.25" x14ac:dyDescent="0.2">
      <c r="A43" s="5"/>
      <c r="B43" s="396" t="str">
        <f>+Input!B52</f>
        <v>Life of Assets (years)</v>
      </c>
      <c r="C43" s="225"/>
      <c r="D43" s="393" t="s">
        <v>56</v>
      </c>
      <c r="E43" s="7"/>
    </row>
    <row r="44" spans="1:5" ht="25.5" x14ac:dyDescent="0.2">
      <c r="A44" s="5"/>
      <c r="B44" s="241" t="str">
        <f>+Input!B57</f>
        <v>Sensitivity Analysis</v>
      </c>
      <c r="C44" s="238"/>
      <c r="D44" s="92" t="s">
        <v>83</v>
      </c>
      <c r="E44" s="7"/>
    </row>
    <row r="45" spans="1:5" ht="25.5" x14ac:dyDescent="0.2">
      <c r="A45" s="5"/>
      <c r="B45" s="245" t="s">
        <v>84</v>
      </c>
      <c r="C45" s="224"/>
      <c r="D45" s="92" t="s">
        <v>57</v>
      </c>
      <c r="E45" s="7"/>
    </row>
    <row r="46" spans="1:5" ht="25.5" x14ac:dyDescent="0.2">
      <c r="A46" s="5"/>
      <c r="B46" s="249" t="s">
        <v>88</v>
      </c>
      <c r="C46" s="224"/>
      <c r="D46" s="92" t="s">
        <v>58</v>
      </c>
      <c r="E46" s="7"/>
    </row>
    <row r="47" spans="1:5" x14ac:dyDescent="0.2">
      <c r="A47" s="5"/>
      <c r="B47" s="222" t="str">
        <f>+'Sensitivity Analysis'!B10</f>
        <v>Business Revenue</v>
      </c>
      <c r="C47" s="226"/>
      <c r="D47" s="92" t="s">
        <v>85</v>
      </c>
      <c r="E47" s="7"/>
    </row>
    <row r="48" spans="1:5" x14ac:dyDescent="0.2">
      <c r="A48" s="5"/>
      <c r="B48" s="222" t="str">
        <f>+'Sensitivity Analysis'!B11</f>
        <v>Optimistic</v>
      </c>
      <c r="C48" s="226"/>
      <c r="D48" s="92" t="s">
        <v>89</v>
      </c>
      <c r="E48" s="7"/>
    </row>
    <row r="49" spans="1:5" x14ac:dyDescent="0.2">
      <c r="A49" s="5"/>
      <c r="B49" s="222" t="str">
        <f>+'Sensitivity Analysis'!B12</f>
        <v>Expected</v>
      </c>
      <c r="C49" s="226"/>
      <c r="D49" s="92" t="s">
        <v>86</v>
      </c>
      <c r="E49" s="7"/>
    </row>
    <row r="50" spans="1:5" x14ac:dyDescent="0.2">
      <c r="A50" s="5"/>
      <c r="B50" s="222" t="str">
        <f>+'Sensitivity Analysis'!B13</f>
        <v>Pessimistic</v>
      </c>
      <c r="C50" s="226"/>
      <c r="D50" s="92" t="s">
        <v>90</v>
      </c>
      <c r="E50" s="7"/>
    </row>
    <row r="51" spans="1:5" ht="25.5" x14ac:dyDescent="0.2">
      <c r="A51" s="5"/>
      <c r="B51" s="222" t="str">
        <f>+'Sensitivity Analysis'!B14</f>
        <v>Operating Surplus</v>
      </c>
      <c r="C51" s="403"/>
      <c r="D51" s="92" t="s">
        <v>39</v>
      </c>
      <c r="E51" s="7"/>
    </row>
    <row r="52" spans="1:5" ht="63.75" x14ac:dyDescent="0.2">
      <c r="A52" s="5"/>
      <c r="B52" s="245" t="str">
        <f>+'Sensitivity Analysis'!B18</f>
        <v>Business Return</v>
      </c>
      <c r="C52" s="239"/>
      <c r="D52" s="395" t="s">
        <v>59</v>
      </c>
      <c r="E52" s="7"/>
    </row>
    <row r="53" spans="1:5" x14ac:dyDescent="0.2">
      <c r="A53" s="5"/>
      <c r="B53" s="243" t="str">
        <f>+Input!B58</f>
        <v>Expected Results</v>
      </c>
      <c r="C53" s="233"/>
      <c r="D53" s="92" t="s">
        <v>60</v>
      </c>
      <c r="E53" s="7"/>
    </row>
    <row r="54" spans="1:5" x14ac:dyDescent="0.2">
      <c r="A54" s="5"/>
      <c r="B54" s="243" t="str">
        <f>+Input!B59</f>
        <v>Optimistic Results</v>
      </c>
      <c r="C54" s="239"/>
      <c r="D54" s="92" t="s">
        <v>61</v>
      </c>
      <c r="E54" s="7"/>
    </row>
    <row r="55" spans="1:5" ht="12.75" customHeight="1" x14ac:dyDescent="0.2">
      <c r="A55" s="5"/>
      <c r="B55" s="243" t="str">
        <f>+Input!B60</f>
        <v>Pessimistic Results</v>
      </c>
      <c r="C55" s="239"/>
      <c r="D55" s="92" t="s">
        <v>61</v>
      </c>
      <c r="E55" s="7"/>
    </row>
    <row r="56" spans="1:5" ht="25.5" x14ac:dyDescent="0.2">
      <c r="A56" s="5"/>
      <c r="B56" s="243" t="str">
        <f>+Input!B61</f>
        <v>Forecast Revenue Chart</v>
      </c>
      <c r="C56" s="15"/>
      <c r="D56" s="248" t="s">
        <v>87</v>
      </c>
      <c r="E56" s="7"/>
    </row>
    <row r="57" spans="1:5" ht="25.5" x14ac:dyDescent="0.2">
      <c r="A57" s="5"/>
      <c r="B57" s="243" t="str">
        <f>+Input!B62</f>
        <v>Forecast Surplus Chart</v>
      </c>
      <c r="C57" s="15"/>
      <c r="D57" s="248" t="s">
        <v>62</v>
      </c>
      <c r="E57" s="7"/>
    </row>
    <row r="58" spans="1:5" ht="25.5" x14ac:dyDescent="0.2">
      <c r="A58" s="5"/>
      <c r="B58" s="243" t="str">
        <f>+Input!B63</f>
        <v>Forecast Return Chart</v>
      </c>
      <c r="C58" s="15"/>
      <c r="D58" s="248" t="s">
        <v>63</v>
      </c>
      <c r="E58" s="7"/>
    </row>
    <row r="59" spans="1:5" ht="25.5" x14ac:dyDescent="0.2">
      <c r="A59" s="5"/>
      <c r="B59" s="244" t="str">
        <f>+Input!B64</f>
        <v>Operating Surplus Chart</v>
      </c>
      <c r="C59" s="15"/>
      <c r="D59" s="397" t="s">
        <v>40</v>
      </c>
      <c r="E59" s="7"/>
    </row>
    <row r="60" spans="1:5" ht="114.75" x14ac:dyDescent="0.2">
      <c r="A60" s="5"/>
      <c r="B60" s="241" t="str">
        <f>+Input!B65</f>
        <v>Budget by Month Master</v>
      </c>
      <c r="C60" s="16"/>
      <c r="D60" s="248" t="s">
        <v>47</v>
      </c>
      <c r="E60" s="7"/>
    </row>
    <row r="61" spans="1:5" ht="127.5" x14ac:dyDescent="0.2">
      <c r="A61" s="5"/>
      <c r="B61" s="222"/>
      <c r="C61" s="400"/>
      <c r="D61" s="248" t="s">
        <v>64</v>
      </c>
      <c r="E61" s="7"/>
    </row>
    <row r="62" spans="1:5" ht="63.75" x14ac:dyDescent="0.2">
      <c r="A62" s="5"/>
      <c r="B62" s="222"/>
      <c r="C62" s="401"/>
      <c r="D62" s="248" t="s">
        <v>41</v>
      </c>
      <c r="E62" s="7"/>
    </row>
    <row r="63" spans="1:5" ht="25.5" x14ac:dyDescent="0.2">
      <c r="A63" s="5"/>
      <c r="B63" s="222" t="str">
        <f>+'Budget by Month Master'!B6</f>
        <v>Budget Month</v>
      </c>
      <c r="C63" s="402"/>
      <c r="D63" s="248" t="s">
        <v>43</v>
      </c>
      <c r="E63" s="7"/>
    </row>
    <row r="64" spans="1:5" ht="63.75" customHeight="1" x14ac:dyDescent="0.2">
      <c r="A64" s="5"/>
      <c r="B64" s="222" t="str">
        <f>+'Budget by Month Master'!B9</f>
        <v>Percentage Contributor</v>
      </c>
      <c r="C64" s="402"/>
      <c r="D64" s="248" t="s">
        <v>50</v>
      </c>
      <c r="E64" s="7"/>
    </row>
    <row r="65" spans="1:5" ht="25.5" x14ac:dyDescent="0.2">
      <c r="A65" s="5"/>
      <c r="B65" s="244" t="str">
        <f>+Input!B66</f>
        <v>Budget by Month Master Chart</v>
      </c>
      <c r="C65" s="15"/>
      <c r="D65" s="397" t="s">
        <v>48</v>
      </c>
      <c r="E65" s="7"/>
    </row>
    <row r="66" spans="1:5" ht="127.5" x14ac:dyDescent="0.2">
      <c r="A66" s="5"/>
      <c r="B66" s="241" t="str">
        <f>+Input!B67</f>
        <v>Budget by Month</v>
      </c>
      <c r="C66" s="402"/>
      <c r="D66" s="248" t="s">
        <v>42</v>
      </c>
      <c r="E66" s="7"/>
    </row>
    <row r="67" spans="1:5" ht="25.5" x14ac:dyDescent="0.2">
      <c r="A67" s="5"/>
      <c r="B67" s="243" t="str">
        <f>+Input!B68</f>
        <v>Budget by Month Chart</v>
      </c>
      <c r="C67" s="16"/>
      <c r="D67" s="248" t="s">
        <v>49</v>
      </c>
      <c r="E67" s="7"/>
    </row>
    <row r="68" spans="1:5" x14ac:dyDescent="0.2">
      <c r="A68" s="5"/>
      <c r="B68" s="547"/>
      <c r="C68" s="576"/>
      <c r="D68" s="576"/>
      <c r="E68" s="7"/>
    </row>
    <row r="69" spans="1:5" ht="18" x14ac:dyDescent="0.2">
      <c r="A69" s="5"/>
      <c r="B69" s="483"/>
      <c r="C69" s="523"/>
      <c r="D69" s="523"/>
      <c r="E69" s="7"/>
    </row>
    <row r="70" spans="1:5" ht="18" x14ac:dyDescent="0.2">
      <c r="A70" s="5"/>
      <c r="B70" s="483"/>
      <c r="C70" s="483"/>
      <c r="D70" s="483"/>
      <c r="E70" s="7"/>
    </row>
    <row r="71" spans="1:5" ht="18" x14ac:dyDescent="0.2">
      <c r="A71" s="5"/>
      <c r="B71" s="524"/>
      <c r="C71" s="571"/>
      <c r="D71" s="571"/>
      <c r="E71" s="7"/>
    </row>
    <row r="72" spans="1:5" ht="18" x14ac:dyDescent="0.2">
      <c r="A72" s="5"/>
      <c r="B72" s="575"/>
      <c r="C72" s="571"/>
      <c r="D72" s="571"/>
      <c r="E72" s="5"/>
    </row>
    <row r="73" spans="1:5" ht="18" x14ac:dyDescent="0.2">
      <c r="A73" s="5"/>
      <c r="B73" s="524"/>
      <c r="C73" s="571"/>
      <c r="D73" s="571"/>
      <c r="E73" s="5"/>
    </row>
    <row r="74" spans="1:5" ht="18" x14ac:dyDescent="0.2">
      <c r="A74" s="5"/>
      <c r="B74" s="570"/>
      <c r="C74" s="571"/>
      <c r="D74" s="571"/>
      <c r="E74" s="5"/>
    </row>
    <row r="75" spans="1:5" ht="18" x14ac:dyDescent="0.2">
      <c r="A75" s="5"/>
      <c r="B75" s="572"/>
      <c r="C75" s="571"/>
      <c r="D75" s="571"/>
      <c r="E75" s="5"/>
    </row>
    <row r="76" spans="1:5" ht="18" x14ac:dyDescent="0.2">
      <c r="A76" s="5"/>
      <c r="B76" s="570"/>
      <c r="C76" s="573"/>
      <c r="D76" s="573"/>
      <c r="E76" s="5"/>
    </row>
    <row r="77" spans="1:5" x14ac:dyDescent="0.2">
      <c r="A77" s="5"/>
      <c r="B77" s="574"/>
      <c r="C77" s="571"/>
      <c r="D77" s="571"/>
      <c r="E77" s="5"/>
    </row>
    <row r="78" spans="1:5" x14ac:dyDescent="0.2">
      <c r="A78" s="5"/>
      <c r="B78" s="8"/>
      <c r="C78" s="6"/>
      <c r="D78" s="253"/>
      <c r="E78" s="5"/>
    </row>
  </sheetData>
  <sheetProtection algorithmName="SHA-512" hashValue="q/gndgBGnQzDoINtmy4Kq3JlqSDzH/I1tvWTdfksGroVHGqgdeXrwuD50fGPRiIqwXODlY6MH118q84PjWIIAA==" saltValue="z1ZlEosJepzLzgRdf/d3iw==" spinCount="100000" sheet="1" objects="1" scenarios="1"/>
  <mergeCells count="14">
    <mergeCell ref="B2:D2"/>
    <mergeCell ref="B68:D68"/>
    <mergeCell ref="B6:D6"/>
    <mergeCell ref="B3:D3"/>
    <mergeCell ref="B7:D7"/>
    <mergeCell ref="B74:D74"/>
    <mergeCell ref="B75:D75"/>
    <mergeCell ref="B76:D76"/>
    <mergeCell ref="B77:D77"/>
    <mergeCell ref="B69:D69"/>
    <mergeCell ref="B71:D71"/>
    <mergeCell ref="B72:D72"/>
    <mergeCell ref="B73:D73"/>
    <mergeCell ref="B70:D70"/>
  </mergeCells>
  <phoneticPr fontId="0" type="noConversion"/>
  <hyperlinks>
    <hyperlink ref="B6:D6" location="Input!B5" tooltip="Go to Input" display="Input" xr:uid="{00000000-0004-0000-0F00-000000000000}"/>
    <hyperlink ref="B8" location="Input!C9" tooltip="Go to Input" display="Current Performance" xr:uid="{00000000-0004-0000-0F00-000001000000}"/>
    <hyperlink ref="B10" location="Input!C13" tooltip="Go to Input" display="Input!C13" xr:uid="{00000000-0004-0000-0F00-000002000000}"/>
    <hyperlink ref="B12" location="Input!C16" tooltip="Go To Input" display="Cost of Sales" xr:uid="{00000000-0004-0000-0F00-000003000000}"/>
    <hyperlink ref="B13" location="Input!C17" tooltip="Go to Input" display="Materials &amp; Supplies" xr:uid="{00000000-0004-0000-0F00-000004000000}"/>
    <hyperlink ref="B11" location="Input!C15" tooltip="Go to Input" display="Expenses" xr:uid="{00000000-0004-0000-0F00-000005000000}"/>
    <hyperlink ref="B9" location="Input!C11" tooltip="Go to Input" display="Input!C11" xr:uid="{00000000-0004-0000-0F00-000007000000}"/>
    <hyperlink ref="B14" location="Input!C18" tooltip="Go to Input" display="Input!C18" xr:uid="{00000000-0004-0000-0F00-000008000000}"/>
    <hyperlink ref="B15" location="Input!C19" tooltip="Go to Input" display="Input!C19" xr:uid="{00000000-0004-0000-0F00-000009000000}"/>
    <hyperlink ref="B16" location="Input!C20" tooltip="Go to Input" display="Input!C20" xr:uid="{00000000-0004-0000-0F00-00000A000000}"/>
    <hyperlink ref="B17" location="Input!C21" tooltip="Go to Input" display="Input!C21" xr:uid="{00000000-0004-0000-0F00-00000B000000}"/>
    <hyperlink ref="B18" location="Input!C22" tooltip="Go to Input" display="Input!C22" xr:uid="{00000000-0004-0000-0F00-00000C000000}"/>
    <hyperlink ref="B19" location="Input!C23" tooltip="Go to Input" display="Input!C23" xr:uid="{00000000-0004-0000-0F00-00000D000000}"/>
    <hyperlink ref="B20:B29" location="Input!C23" display="Input!C23" xr:uid="{00000000-0004-0000-0F00-00000E000000}"/>
    <hyperlink ref="B20" location="Input!C24" tooltip="Go to Input" display="Input!C24" xr:uid="{00000000-0004-0000-0F00-00000F000000}"/>
    <hyperlink ref="B21" location="Input!C25" tooltip="Go to Input" display="Input!C25" xr:uid="{00000000-0004-0000-0F00-000010000000}"/>
    <hyperlink ref="B22" location="Input!C26" tooltip="Go to Input" display="Input!C26" xr:uid="{00000000-0004-0000-0F00-000011000000}"/>
    <hyperlink ref="B23" location="Input!C27" tooltip="Go to Input" display="Input!C27" xr:uid="{00000000-0004-0000-0F00-000012000000}"/>
    <hyperlink ref="B24" location="Input!C28" tooltip="Go to Input" display="Input!C28" xr:uid="{00000000-0004-0000-0F00-000013000000}"/>
    <hyperlink ref="B25" location="Input!C29" tooltip="Go to Input" display="Input!C29" xr:uid="{00000000-0004-0000-0F00-000014000000}"/>
    <hyperlink ref="B26" location="Input!C30" tooltip="Go to Input" display="Input!C30" xr:uid="{00000000-0004-0000-0F00-000015000000}"/>
    <hyperlink ref="B27" location="Input!C31" tooltip="Go to Input" display="Input!C31" xr:uid="{00000000-0004-0000-0F00-000016000000}"/>
    <hyperlink ref="B28" location="Input!C32" tooltip="Go to Input" display="Input!C32" xr:uid="{00000000-0004-0000-0F00-000017000000}"/>
    <hyperlink ref="B29" location="Input!C33" tooltip="Go to Input" display="Input!C33" xr:uid="{00000000-0004-0000-0F00-000018000000}"/>
    <hyperlink ref="B30" location="Input!C36" tooltip="Go to Input" display="Input!C36" xr:uid="{00000000-0004-0000-0F00-000019000000}"/>
    <hyperlink ref="B31" location="Input!C38" tooltip="Go to Input" display="Input!C38" xr:uid="{00000000-0004-0000-0F00-00001A000000}"/>
    <hyperlink ref="B32" location="Input!C39" tooltip="Go to Input" display="Input!C39" xr:uid="{00000000-0004-0000-0F00-00001B000000}"/>
    <hyperlink ref="B33" location="Input!C40" tooltip="Go to Input" display="Input!C40" xr:uid="{00000000-0004-0000-0F00-00001C000000}"/>
    <hyperlink ref="B34" location="Input!C41" tooltip="Go to Input" display="Input!C41" xr:uid="{00000000-0004-0000-0F00-00001D000000}"/>
    <hyperlink ref="B35" location="Input!C42" tooltip="Go to Input" display="Input!C42" xr:uid="{00000000-0004-0000-0F00-00001E000000}"/>
    <hyperlink ref="B36" location="Input!C43" tooltip="Go to Input" display="Input!C43" xr:uid="{00000000-0004-0000-0F00-00001F000000}"/>
    <hyperlink ref="B37" location="Input!C44" tooltip="Go to Input" display="Input!C44" xr:uid="{00000000-0004-0000-0F00-000020000000}"/>
    <hyperlink ref="B38" location="Input!C45" tooltip="Go to Input" display="Input!C45" xr:uid="{00000000-0004-0000-0F00-000021000000}"/>
    <hyperlink ref="B39" location="Input!C46" tooltip="Go to Input" display="Input!C46" xr:uid="{00000000-0004-0000-0F00-000022000000}"/>
    <hyperlink ref="B41" location="Input!C50" tooltip="Go to Input" display="Input!C50" xr:uid="{00000000-0004-0000-0F00-000023000000}"/>
    <hyperlink ref="B42" location="Input!C51" tooltip="Go to Input" display="Input!C51" xr:uid="{00000000-0004-0000-0F00-000024000000}"/>
    <hyperlink ref="B43" location="Input!C52" tooltip="Go to Input" display="Input!C52" xr:uid="{00000000-0004-0000-0F00-000025000000}"/>
    <hyperlink ref="B44" location="'Sensitivity Analysis'!A1" tooltip="Go to Sensitivity Analysis" display="'Sensitivity Analysis'!A1" xr:uid="{00000000-0004-0000-0F00-000026000000}"/>
    <hyperlink ref="B45" location="'Sensitivity Analysis'!E7" tooltip="Go to Sensitivity Analysis" display="Optimistic Input" xr:uid="{00000000-0004-0000-0F00-000027000000}"/>
    <hyperlink ref="B46" location="'Sensitivity Analysis'!E8" tooltip="Go to Sensitivity Analysis" display="Pesimistic Input" xr:uid="{00000000-0004-0000-0F00-000028000000}"/>
    <hyperlink ref="B47" location="'Sensitivity Analysis'!B10" tooltip="Go to Sensitivity Analysis" display="'Sensitivity Analysis'!B10" xr:uid="{00000000-0004-0000-0F00-000029000000}"/>
    <hyperlink ref="B48:B50" location="'Sensitivity Analysis'!B10" display="'Sensitivity Analysis'!B10" xr:uid="{00000000-0004-0000-0F00-00002A000000}"/>
    <hyperlink ref="B48" location="'Sensitivity Analysis'!B11" tooltip="Go to Sensitivity Analysis" display="'Sensitivity Analysis'!B11" xr:uid="{00000000-0004-0000-0F00-00002B000000}"/>
    <hyperlink ref="B49" location="'Sensitivity Analysis'!B12" tooltip="Go to Sensitivity Analysis" display="'Sensitivity Analysis'!B12" xr:uid="{00000000-0004-0000-0F00-00002C000000}"/>
    <hyperlink ref="B50" location="'Sensitivity Analysis'!B13" tooltip="Go to Sensitivity Analysis" display="'Sensitivity Analysis'!B13" xr:uid="{00000000-0004-0000-0F00-00002D000000}"/>
    <hyperlink ref="B51" location="'Sensitivity Analysis'!B14" tooltip="Go to Sensitivity Analysis" display="'Sensitivity Analysis'!B14" xr:uid="{00000000-0004-0000-0F00-00002E000000}"/>
    <hyperlink ref="B52" location="'Sensitivity Analysis'!B18" tooltip="Go to Sensitivity Analysis" display="'Sensitivity Analysis'!B18" xr:uid="{00000000-0004-0000-0F00-00002F000000}"/>
    <hyperlink ref="B53" location="Input!C58" tooltip="Go to Input" display="Input!C58" xr:uid="{00000000-0004-0000-0F00-000030000000}"/>
    <hyperlink ref="B54:B57" location="Input!C58" tooltip="Go to Valuation Analysis" display="Input!C58" xr:uid="{00000000-0004-0000-0F00-000031000000}"/>
    <hyperlink ref="B54" location="Input!C59" tooltip="Go to Input" display="Input!C59" xr:uid="{00000000-0004-0000-0F00-000032000000}"/>
    <hyperlink ref="B55" location="Input!C60" tooltip="Go to Input" display="Input!C60" xr:uid="{00000000-0004-0000-0F00-000033000000}"/>
    <hyperlink ref="B56" location="Input!C61" tooltip="Go to Input" display="Input!C61" xr:uid="{00000000-0004-0000-0F00-000034000000}"/>
    <hyperlink ref="B57" location="Input!C62" tooltip="Go to Input" display="Input!C62" xr:uid="{00000000-0004-0000-0F00-000035000000}"/>
    <hyperlink ref="B58:B59" location="Input!C62" tooltip="Go to Valuation Analysis" display="Input!C62" xr:uid="{00000000-0004-0000-0F00-000036000000}"/>
    <hyperlink ref="B58" location="Input!C63" tooltip="Go to Input" display="Input!C63" xr:uid="{00000000-0004-0000-0F00-000037000000}"/>
    <hyperlink ref="B59" location="Input!C64" tooltip="Go to Input" display="Input!C64" xr:uid="{00000000-0004-0000-0F00-000038000000}"/>
    <hyperlink ref="B60:B67" location="Input!C64" tooltip="Go to Input" display="Input!C64" xr:uid="{00000000-0004-0000-0F00-000039000000}"/>
    <hyperlink ref="B60" location="'Budget by Month Master'!B3" tooltip="Go to Budget by Month Master" display="'Budget by Month Master'!B3" xr:uid="{00000000-0004-0000-0F00-00003A000000}"/>
    <hyperlink ref="B65" location="Input!C66" tooltip="Go to Input" display="Input!C66" xr:uid="{00000000-0004-0000-0F00-00003B000000}"/>
    <hyperlink ref="B66" location="'Budget by Month'!C3" tooltip="Go to Budget by Month" display="'Budget by Month'!C3" xr:uid="{00000000-0004-0000-0F00-00003C000000}"/>
    <hyperlink ref="B67" location="Input!C68" tooltip="Go to Input" display="Input!C68" xr:uid="{00000000-0004-0000-0F00-00003D000000}"/>
    <hyperlink ref="B64" location="'Budget by Month Master'!D9" tooltip="Go to Budget by Month Master" display="'Budget by Month Master'!D9" xr:uid="{00000000-0004-0000-0F00-00003E000000}"/>
    <hyperlink ref="B63" location="'Budget by Month Master'!D6" tooltip="Go to Budget by Month Master" display="'Budget by Month Master'!D6" xr:uid="{00000000-0004-0000-0F00-00003F000000}"/>
    <hyperlink ref="B40" location="Input!C46" tooltip="Go to Input" display="Input!C46" xr:uid="{00000000-0004-0000-0F00-000040000000}"/>
  </hyperlinks>
  <printOptions horizontalCentered="1" verticalCentered="1"/>
  <pageMargins left="0.74803149606299213" right="0.59055118110236227" top="0.98425196850393704" bottom="0.98425196850393704" header="0.51181102362204722" footer="0.51181102362204722"/>
  <pageSetup paperSize="9" scale="88" fitToHeight="0" orientation="portrait" horizontalDpi="360" verticalDpi="0" copies="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dimension ref="A1:W98"/>
  <sheetViews>
    <sheetView showGridLines="0" workbookViewId="0"/>
  </sheetViews>
  <sheetFormatPr defaultRowHeight="12.75" x14ac:dyDescent="0.2"/>
  <cols>
    <col min="1" max="1" width="2.28515625" style="4" customWidth="1"/>
    <col min="2" max="2" width="39.140625" style="4" customWidth="1"/>
    <col min="3" max="7" width="12.7109375" style="4" customWidth="1"/>
    <col min="8" max="8" width="4.28515625" style="4" customWidth="1"/>
    <col min="9" max="9" width="2.28515625" style="4" customWidth="1"/>
    <col min="10" max="10" width="39.140625" style="4" customWidth="1"/>
    <col min="11" max="15" width="12.7109375" style="4" customWidth="1"/>
    <col min="16" max="16" width="4.28515625" style="4" customWidth="1"/>
    <col min="17" max="17" width="39.140625" style="4" customWidth="1"/>
    <col min="18" max="22" width="12.7109375" style="4" customWidth="1"/>
    <col min="23" max="23" width="4.28515625" style="4" customWidth="1"/>
    <col min="24" max="16384" width="9.140625" style="4"/>
  </cols>
  <sheetData>
    <row r="1" spans="1:23" x14ac:dyDescent="0.2">
      <c r="A1" s="3"/>
      <c r="B1" s="3"/>
      <c r="C1" s="3"/>
      <c r="D1" s="3"/>
      <c r="E1" s="3"/>
      <c r="F1" s="3"/>
      <c r="G1" s="3"/>
      <c r="H1" s="3"/>
      <c r="I1" s="3"/>
      <c r="J1" s="3"/>
      <c r="K1" s="3"/>
      <c r="L1" s="3"/>
      <c r="M1" s="3"/>
      <c r="N1" s="3"/>
      <c r="O1" s="3"/>
      <c r="P1" s="3"/>
      <c r="Q1" s="3"/>
      <c r="R1" s="3"/>
      <c r="S1" s="3"/>
      <c r="T1" s="3"/>
      <c r="U1" s="3"/>
      <c r="V1" s="3"/>
      <c r="W1" s="3"/>
    </row>
    <row r="2" spans="1:23" ht="18" customHeight="1" x14ac:dyDescent="0.2">
      <c r="A2" s="18"/>
      <c r="B2" s="19" t="s">
        <v>152</v>
      </c>
      <c r="C2" s="20"/>
      <c r="D2" s="20"/>
      <c r="E2" s="20"/>
      <c r="F2" s="21"/>
      <c r="G2" s="22"/>
      <c r="H2" s="23"/>
      <c r="I2" s="18"/>
      <c r="J2" s="19" t="s">
        <v>97</v>
      </c>
      <c r="K2" s="208">
        <f>+'Sensitivity Analysis'!E7</f>
        <v>0.2</v>
      </c>
      <c r="L2" s="20"/>
      <c r="M2" s="20"/>
      <c r="N2" s="21"/>
      <c r="O2" s="22"/>
      <c r="P2" s="23"/>
      <c r="Q2" s="19" t="s">
        <v>98</v>
      </c>
      <c r="R2" s="208">
        <f>+'Sensitivity Analysis'!E8</f>
        <v>0.2</v>
      </c>
      <c r="S2" s="20"/>
      <c r="T2" s="20"/>
      <c r="U2" s="21"/>
      <c r="V2" s="22"/>
      <c r="W2" s="23"/>
    </row>
    <row r="3" spans="1:23" ht="18" customHeight="1" x14ac:dyDescent="0.2">
      <c r="A3" s="18"/>
      <c r="B3" s="145" t="str">
        <f>+Input!C11</f>
        <v>Acme Widgets</v>
      </c>
      <c r="C3" s="20"/>
      <c r="D3" s="20"/>
      <c r="E3" s="20"/>
      <c r="F3" s="21"/>
      <c r="G3" s="22"/>
      <c r="H3" s="23"/>
      <c r="I3" s="18"/>
      <c r="J3" s="145" t="str">
        <f>+$B3</f>
        <v>Acme Widgets</v>
      </c>
      <c r="K3" s="20"/>
      <c r="L3" s="20"/>
      <c r="M3" s="20"/>
      <c r="N3" s="21"/>
      <c r="O3" s="22"/>
      <c r="P3" s="23"/>
      <c r="Q3" s="145" t="str">
        <f>+$B3</f>
        <v>Acme Widgets</v>
      </c>
      <c r="R3" s="20"/>
      <c r="S3" s="20"/>
      <c r="T3" s="20"/>
      <c r="U3" s="21"/>
      <c r="V3" s="22"/>
      <c r="W3" s="23"/>
    </row>
    <row r="4" spans="1:23" ht="25.5" x14ac:dyDescent="0.2">
      <c r="A4" s="18"/>
      <c r="B4" s="220" t="s">
        <v>167</v>
      </c>
      <c r="C4" s="43" t="str">
        <f>+C54</f>
        <v>Current Year</v>
      </c>
      <c r="D4" s="148" t="str">
        <f>+D54</f>
        <v>Year 1</v>
      </c>
      <c r="E4" s="148" t="str">
        <f>+E54</f>
        <v>Year 2</v>
      </c>
      <c r="F4" s="148" t="str">
        <f>+F54</f>
        <v>Year 3</v>
      </c>
      <c r="G4" s="44" t="str">
        <f>+G81</f>
        <v>3 Year Average</v>
      </c>
      <c r="H4" s="3"/>
      <c r="I4" s="18"/>
      <c r="J4" s="220" t="s">
        <v>187</v>
      </c>
      <c r="K4" s="43" t="str">
        <f>+K54</f>
        <v>Current Year</v>
      </c>
      <c r="L4" s="148" t="str">
        <f>+L54</f>
        <v>Year 1</v>
      </c>
      <c r="M4" s="148" t="str">
        <f>+M54</f>
        <v>Year 2</v>
      </c>
      <c r="N4" s="148" t="str">
        <f>+N54</f>
        <v>Year 3</v>
      </c>
      <c r="O4" s="44" t="str">
        <f>+O81</f>
        <v>3 Year Average</v>
      </c>
      <c r="P4" s="3"/>
      <c r="Q4" s="220" t="s">
        <v>149</v>
      </c>
      <c r="R4" s="43" t="str">
        <f>+R54</f>
        <v>Current Year</v>
      </c>
      <c r="S4" s="148" t="str">
        <f>+S54</f>
        <v>Year 1</v>
      </c>
      <c r="T4" s="148" t="str">
        <f>+T54</f>
        <v>Year 2</v>
      </c>
      <c r="U4" s="148" t="str">
        <f>+U54</f>
        <v>Year 3</v>
      </c>
      <c r="V4" s="44" t="str">
        <f>+V81</f>
        <v>3 Year Average</v>
      </c>
      <c r="W4" s="3"/>
    </row>
    <row r="5" spans="1:23" ht="12.75" customHeight="1" x14ac:dyDescent="0.2">
      <c r="A5" s="18"/>
      <c r="B5" s="143" t="str">
        <f>+Input!B13</f>
        <v>Business Revenue</v>
      </c>
      <c r="C5" s="212">
        <f>+Input!C13</f>
        <v>500000</v>
      </c>
      <c r="D5" s="46">
        <f>+C5*D56*D60/D55</f>
        <v>560679.61165048543</v>
      </c>
      <c r="E5" s="47">
        <f>+D5*E56*E60/E55</f>
        <v>588713.59223300975</v>
      </c>
      <c r="F5" s="48">
        <f>+E5*F56*F60/F55</f>
        <v>625128.8659793816</v>
      </c>
      <c r="G5" s="45">
        <f>AVERAGE(D5:F5)</f>
        <v>591507.35662095889</v>
      </c>
      <c r="H5" s="53"/>
      <c r="I5" s="18"/>
      <c r="J5" s="143" t="str">
        <f>+$B5</f>
        <v>Business Revenue</v>
      </c>
      <c r="K5" s="212">
        <f>+C5</f>
        <v>500000</v>
      </c>
      <c r="L5" s="46">
        <f>+K5*L56*L60/L55</f>
        <v>579687.5</v>
      </c>
      <c r="M5" s="47">
        <f>+L5*M56*M60/M55</f>
        <v>614468.75</v>
      </c>
      <c r="N5" s="48">
        <f>+M5*N56*N60/N55</f>
        <v>660362.68153526972</v>
      </c>
      <c r="O5" s="45">
        <f>AVERAGE(L5:N5)</f>
        <v>618172.9771784232</v>
      </c>
      <c r="P5" s="53"/>
      <c r="Q5" s="143" t="str">
        <f>+$B5</f>
        <v>Business Revenue</v>
      </c>
      <c r="R5" s="212">
        <f>+C5</f>
        <v>500000</v>
      </c>
      <c r="S5" s="46">
        <f>+R5*S56*S60/S55</f>
        <v>542084.94208494201</v>
      </c>
      <c r="T5" s="47">
        <f>+S5*T56*T60/T55</f>
        <v>563768.33976833976</v>
      </c>
      <c r="U5" s="48">
        <f>+T5*U56*U60/U55</f>
        <v>591494.65156022529</v>
      </c>
      <c r="V5" s="45">
        <f>AVERAGE(S5:U5)</f>
        <v>565782.6444711691</v>
      </c>
      <c r="W5" s="53"/>
    </row>
    <row r="6" spans="1:23" x14ac:dyDescent="0.2">
      <c r="A6" s="18"/>
      <c r="B6" s="143" t="str">
        <f>+Input!B15</f>
        <v>Expenses</v>
      </c>
      <c r="C6" s="24"/>
      <c r="D6" s="25"/>
      <c r="E6" s="26"/>
      <c r="F6" s="27"/>
      <c r="G6" s="63"/>
      <c r="H6" s="53"/>
      <c r="I6" s="18"/>
      <c r="J6" s="143" t="str">
        <f t="shared" ref="J6:J50" si="0">+$B6</f>
        <v>Expenses</v>
      </c>
      <c r="K6" s="24"/>
      <c r="L6" s="25"/>
      <c r="M6" s="26"/>
      <c r="N6" s="27"/>
      <c r="O6" s="63"/>
      <c r="P6" s="53"/>
      <c r="Q6" s="143" t="str">
        <f t="shared" ref="Q6:Q50" si="1">+$B6</f>
        <v>Expenses</v>
      </c>
      <c r="R6" s="24"/>
      <c r="S6" s="25"/>
      <c r="T6" s="26"/>
      <c r="U6" s="27"/>
      <c r="V6" s="63"/>
      <c r="W6" s="53"/>
    </row>
    <row r="7" spans="1:23" x14ac:dyDescent="0.2">
      <c r="A7" s="18"/>
      <c r="B7" s="143" t="str">
        <f>+Input!B16</f>
        <v>Variable Costs</v>
      </c>
      <c r="C7" s="28"/>
      <c r="D7" s="29"/>
      <c r="E7" s="29"/>
      <c r="F7" s="28"/>
      <c r="G7" s="63"/>
      <c r="H7" s="53"/>
      <c r="I7" s="18"/>
      <c r="J7" s="143" t="str">
        <f t="shared" si="0"/>
        <v>Variable Costs</v>
      </c>
      <c r="K7" s="28"/>
      <c r="L7" s="29"/>
      <c r="M7" s="29"/>
      <c r="N7" s="28"/>
      <c r="O7" s="63"/>
      <c r="P7" s="53"/>
      <c r="Q7" s="143" t="str">
        <f t="shared" si="1"/>
        <v>Variable Costs</v>
      </c>
      <c r="R7" s="28"/>
      <c r="S7" s="29"/>
      <c r="T7" s="29"/>
      <c r="U7" s="28"/>
      <c r="V7" s="63"/>
      <c r="W7" s="53"/>
    </row>
    <row r="8" spans="1:23" x14ac:dyDescent="0.2">
      <c r="A8" s="18"/>
      <c r="B8" s="144" t="str">
        <f>+Input!B17</f>
        <v>Materials &amp; Supplies</v>
      </c>
      <c r="C8" s="50">
        <f>IF(Input!C$15=Input!B$81,Input!C$17,Input!D$17)</f>
        <v>10000</v>
      </c>
      <c r="D8" s="49">
        <f>+D5*$C9*$D57/D61</f>
        <v>11431.331888019608</v>
      </c>
      <c r="E8" s="49">
        <f>+E5*$C9*$D57*$E57/D61/E61</f>
        <v>12002.898482420587</v>
      </c>
      <c r="F8" s="50">
        <f>+F5*$C9*$D57*$E57*F57/D61/E61/F61</f>
        <v>12745.345811230112</v>
      </c>
      <c r="G8" s="45">
        <f>AVERAGE(D8:F8)</f>
        <v>12059.858727223434</v>
      </c>
      <c r="H8" s="55"/>
      <c r="I8" s="18"/>
      <c r="J8" s="144" t="str">
        <f t="shared" si="0"/>
        <v>Materials &amp; Supplies</v>
      </c>
      <c r="K8" s="212">
        <f>+C8</f>
        <v>10000</v>
      </c>
      <c r="L8" s="49">
        <f>+L5*$C9*$D57/L61</f>
        <v>11750.422297297297</v>
      </c>
      <c r="M8" s="49">
        <f>+M5*$C9*$D57*$E57/L61/M61</f>
        <v>12337.943412162162</v>
      </c>
      <c r="N8" s="50">
        <f>+N5*$C9*$D57*$E57*N57/L61/M61/N61</f>
        <v>13259.449559128632</v>
      </c>
      <c r="O8" s="45">
        <f>AVERAGE(L8:N8)</f>
        <v>12449.271756196031</v>
      </c>
      <c r="P8" s="55"/>
      <c r="Q8" s="144" t="str">
        <f t="shared" si="1"/>
        <v>Materials &amp; Supplies</v>
      </c>
      <c r="R8" s="212">
        <f>+C8</f>
        <v>10000</v>
      </c>
      <c r="S8" s="49">
        <f>+S5*$C9*$D57/S61</f>
        <v>11116.97635135135</v>
      </c>
      <c r="T8" s="49">
        <f>+T5*$C9*$D57*$E57/S61/T61</f>
        <v>11672.82516891892</v>
      </c>
      <c r="U8" s="50">
        <f>+U5*$C9*$D57*$E57*U57/S61/T61/U61</f>
        <v>12246.898537882147</v>
      </c>
      <c r="V8" s="45">
        <f>AVERAGE(S8:U8)</f>
        <v>11678.90001938414</v>
      </c>
      <c r="W8" s="55"/>
    </row>
    <row r="9" spans="1:23" x14ac:dyDescent="0.2">
      <c r="A9" s="18"/>
      <c r="B9" s="33" t="s">
        <v>128</v>
      </c>
      <c r="C9" s="34">
        <f>+C8/C$5</f>
        <v>0.02</v>
      </c>
      <c r="D9" s="35">
        <f>+D8/D5</f>
        <v>2.0388349514563111E-2</v>
      </c>
      <c r="E9" s="35">
        <f>+E8/E5</f>
        <v>2.0388349514563107E-2</v>
      </c>
      <c r="F9" s="34">
        <f>+F8/F5</f>
        <v>2.0388349514563111E-2</v>
      </c>
      <c r="G9" s="34">
        <f>+G8/G5</f>
        <v>2.0388349514563107E-2</v>
      </c>
      <c r="H9" s="55"/>
      <c r="I9" s="18"/>
      <c r="J9" s="149" t="str">
        <f t="shared" si="0"/>
        <v>% Revenue</v>
      </c>
      <c r="K9" s="34">
        <f>+K8/K$5</f>
        <v>0.02</v>
      </c>
      <c r="L9" s="35">
        <f>+L8/L5</f>
        <v>2.0270270270270268E-2</v>
      </c>
      <c r="M9" s="35">
        <f>+M8/M5</f>
        <v>2.0079041305456399E-2</v>
      </c>
      <c r="N9" s="34">
        <f>+N8/N5</f>
        <v>2.0079041305456402E-2</v>
      </c>
      <c r="O9" s="34">
        <f>+O8/O5</f>
        <v>2.013881585866022E-2</v>
      </c>
      <c r="P9" s="55"/>
      <c r="Q9" s="149" t="str">
        <f t="shared" si="1"/>
        <v>% Revenue</v>
      </c>
      <c r="R9" s="34">
        <f>+R8/R$5</f>
        <v>0.02</v>
      </c>
      <c r="S9" s="35">
        <f>+S8/S5</f>
        <v>2.05078125E-2</v>
      </c>
      <c r="T9" s="35">
        <f>+T8/T5</f>
        <v>2.0705003004807696E-2</v>
      </c>
      <c r="U9" s="34">
        <f>+U8/U5</f>
        <v>2.0705003004807699E-2</v>
      </c>
      <c r="V9" s="34">
        <f>+V8/V5</f>
        <v>2.0642025932591627E-2</v>
      </c>
      <c r="W9" s="55"/>
    </row>
    <row r="10" spans="1:23" x14ac:dyDescent="0.2">
      <c r="A10" s="18"/>
      <c r="B10" s="144" t="str">
        <f>+Input!B18</f>
        <v>Labor excluding Owner</v>
      </c>
      <c r="C10" s="50">
        <f>IF(Input!C$15=Input!B$81,Input!C$18,Input!D$18)</f>
        <v>200000</v>
      </c>
      <c r="D10" s="49">
        <f>+D$5*($C11+$C13)*D58/D61-D12</f>
        <v>222477.96682062396</v>
      </c>
      <c r="E10" s="49">
        <f>+E$5*($C11+$C13)*D58*E58/D61/E61-E12</f>
        <v>229085.76170759567</v>
      </c>
      <c r="F10" s="50">
        <f>+F$5*($C11+$C13)*D58*E58*F58/D61/E61/F61-F12</f>
        <v>258404.25030321415</v>
      </c>
      <c r="G10" s="45">
        <f>AVERAGE(D10:F10)</f>
        <v>236655.99294381126</v>
      </c>
      <c r="H10" s="55"/>
      <c r="I10" s="18"/>
      <c r="J10" s="144" t="str">
        <f t="shared" si="0"/>
        <v>Labor excluding Owner</v>
      </c>
      <c r="K10" s="212">
        <f>+C10</f>
        <v>200000</v>
      </c>
      <c r="L10" s="49">
        <f>+L$5*($C11+$C13)*L58/L61-L12</f>
        <v>230170.39695945947</v>
      </c>
      <c r="M10" s="49">
        <f>+M$5*($C11+$C13)*L58*M58/L61/M61-M12</f>
        <v>235320.77756314661</v>
      </c>
      <c r="N10" s="50">
        <f>+N$5*($C11+$C13)*L58*M58*N58/L61/M61/N61-N12</f>
        <v>265969.27342111943</v>
      </c>
      <c r="O10" s="45">
        <f>AVERAGE(L10:N10)</f>
        <v>243820.14931457516</v>
      </c>
      <c r="P10" s="55"/>
      <c r="Q10" s="144" t="str">
        <f t="shared" si="1"/>
        <v>Labor excluding Owner</v>
      </c>
      <c r="R10" s="212">
        <f>+C10</f>
        <v>200000</v>
      </c>
      <c r="S10" s="49">
        <f>+S$5*($C11+$C13)*S58/S61-S12</f>
        <v>214900.33783783778</v>
      </c>
      <c r="T10" s="49">
        <f>+T$5*($C11+$C13)*S58*T58/S61/T61-T12</f>
        <v>222879.78046240841</v>
      </c>
      <c r="U10" s="50">
        <f>+U$5*($C11+$C13)*S58*T58*U58/S61/T61/U61-U12</f>
        <v>250882.66180386988</v>
      </c>
      <c r="V10" s="45">
        <f>AVERAGE(S10:U10)</f>
        <v>229554.26003470537</v>
      </c>
      <c r="W10" s="55"/>
    </row>
    <row r="11" spans="1:23" x14ac:dyDescent="0.2">
      <c r="A11" s="18"/>
      <c r="B11" s="33" t="s">
        <v>128</v>
      </c>
      <c r="C11" s="34">
        <f>+C10/C$5</f>
        <v>0.4</v>
      </c>
      <c r="D11" s="35">
        <f>+D10/D$5</f>
        <v>0.39680052956751977</v>
      </c>
      <c r="E11" s="35">
        <f>+E10/E$5</f>
        <v>0.38912939115039952</v>
      </c>
      <c r="F11" s="34">
        <f>+F10/F$5</f>
        <v>0.41336157129518475</v>
      </c>
      <c r="G11" s="34">
        <f>+G10/G$5</f>
        <v>0.40008968661984318</v>
      </c>
      <c r="H11" s="54"/>
      <c r="I11" s="18"/>
      <c r="J11" s="149" t="str">
        <f t="shared" si="0"/>
        <v>% Revenue</v>
      </c>
      <c r="K11" s="34">
        <f>+K10/K$5</f>
        <v>0.4</v>
      </c>
      <c r="L11" s="35">
        <f>+L10/L$5</f>
        <v>0.39705944488963357</v>
      </c>
      <c r="M11" s="35">
        <f>+M10/M$5</f>
        <v>0.38296622499215233</v>
      </c>
      <c r="N11" s="34">
        <f>+N10/N$5</f>
        <v>0.40276242261717526</v>
      </c>
      <c r="O11" s="34">
        <f>+O10/O$5</f>
        <v>0.39442058827524806</v>
      </c>
      <c r="P11" s="54"/>
      <c r="Q11" s="149" t="str">
        <f t="shared" si="1"/>
        <v>% Revenue</v>
      </c>
      <c r="R11" s="34">
        <f>+R10/R$5</f>
        <v>0.4</v>
      </c>
      <c r="S11" s="35">
        <f>+S10/S$5</f>
        <v>0.39643295940170936</v>
      </c>
      <c r="T11" s="35">
        <f>+T10/T$5</f>
        <v>0.39533929939022971</v>
      </c>
      <c r="U11" s="34">
        <f>+U10/U$5</f>
        <v>0.42415034716222672</v>
      </c>
      <c r="V11" s="34">
        <f>+V10/V$5</f>
        <v>0.40572870567506936</v>
      </c>
      <c r="W11" s="54"/>
    </row>
    <row r="12" spans="1:23" x14ac:dyDescent="0.2">
      <c r="A12" s="18"/>
      <c r="B12" s="144" t="str">
        <f>+Input!B19</f>
        <v>Labor Owner</v>
      </c>
      <c r="C12" s="50">
        <f>IF(Input!C$15=Input!B$81,Input!C$19,Input!D$19)</f>
        <v>50000</v>
      </c>
      <c r="D12" s="49">
        <f>IF((D$5*$C13*D58/D61+D32)&lt;=D$64,D$5*$C13*$D58/D61,(D$64-D32))</f>
        <v>49696.601941747576</v>
      </c>
      <c r="E12" s="49">
        <f>IF((E$5*$C13*D58*E58/D61/E61+E32)&lt;=E$64,E$5*$C13*$D58*$E58/D61/E61,(E$64-E32))</f>
        <v>51254.044117647063</v>
      </c>
      <c r="F12" s="50">
        <f>IF((F$5*$C13*D58*E58*F58/D61/E61/F61+F32)&lt;=F$64,F$5*$C13*$D58*$E58*F58/D61/E61/F61,(F$64-F32))</f>
        <v>54160.182686476648</v>
      </c>
      <c r="G12" s="45">
        <f>AVERAGE(D12:F12)</f>
        <v>51703.609581957098</v>
      </c>
      <c r="H12" s="55"/>
      <c r="I12" s="18"/>
      <c r="J12" s="144" t="str">
        <f t="shared" si="0"/>
        <v>Labor Owner</v>
      </c>
      <c r="K12" s="212">
        <f>+C12</f>
        <v>50000</v>
      </c>
      <c r="L12" s="49">
        <f>IF((L$5*$C13*L58/L61+L32)&lt;=L$64,L$5*$C13*$D58/L61,(L$64-L32))</f>
        <v>49601.5625</v>
      </c>
      <c r="M12" s="49">
        <f>IF((M$5*$C13*L58*M58/L61/M61+M32)&lt;=M$64,M$5*$C13*$D58*$E58/L61/M61,(M$64-M32))</f>
        <v>51165.708923339844</v>
      </c>
      <c r="N12" s="50">
        <f>IF((N$5*$C13*L58*M58*N58/L61/M61/N61+N32)&lt;=N$64,N$5*$C13*$D58*$E58*N58/L61/M61/N61,(N$64-N32))</f>
        <v>54229.896703361861</v>
      </c>
      <c r="O12" s="45">
        <f>AVERAGE(L12:N12)</f>
        <v>51665.722708900568</v>
      </c>
      <c r="P12" s="55"/>
      <c r="Q12" s="144" t="str">
        <f t="shared" si="1"/>
        <v>Labor Owner</v>
      </c>
      <c r="R12" s="212">
        <f>+C12</f>
        <v>50000</v>
      </c>
      <c r="S12" s="49">
        <f>IF((S$5*$C13*S58/S61+S32)&lt;=S$64,S$5*$C13*$D58/S61,(S$64-S32))</f>
        <v>49789.575289575288</v>
      </c>
      <c r="T12" s="49">
        <f>IF((T$5*$C13*S58*T58/S61/T61+T32)&lt;=T$64,T$5*$C13*$D58*$E58/S61/T61,(T$64-T32))</f>
        <v>51338.969537591584</v>
      </c>
      <c r="U12" s="50">
        <f>IF((U$5*$C13*S58*T58*U58/S61/T61/U61+U32)&lt;=U$64,U$5*$C13*$D58*$E58*U58/S61/T61/U61,(U$64-U32))</f>
        <v>54084.551310884242</v>
      </c>
      <c r="V12" s="45">
        <f>AVERAGE(S12:U12)</f>
        <v>51737.698712683712</v>
      </c>
      <c r="W12" s="55"/>
    </row>
    <row r="13" spans="1:23" x14ac:dyDescent="0.2">
      <c r="A13" s="18"/>
      <c r="B13" s="33" t="s">
        <v>128</v>
      </c>
      <c r="C13" s="34">
        <f>+C12/C$5</f>
        <v>0.1</v>
      </c>
      <c r="D13" s="35">
        <f>+D12/D$5</f>
        <v>8.8636363636363638E-2</v>
      </c>
      <c r="E13" s="35">
        <f>+E12/E$5</f>
        <v>8.7061085040076633E-2</v>
      </c>
      <c r="F13" s="34">
        <f>+F12/F$5</f>
        <v>8.6638428704815224E-2</v>
      </c>
      <c r="G13" s="34">
        <f>+G12/G$5</f>
        <v>8.7409918073240556E-2</v>
      </c>
      <c r="H13" s="54"/>
      <c r="I13" s="18"/>
      <c r="J13" s="149" t="str">
        <f t="shared" si="0"/>
        <v>% Revenue</v>
      </c>
      <c r="K13" s="34">
        <f>+K12/K$5</f>
        <v>0.1</v>
      </c>
      <c r="L13" s="35">
        <f>+L12/L$5</f>
        <v>8.556603773584906E-2</v>
      </c>
      <c r="M13" s="35">
        <f>+M12/M$5</f>
        <v>8.3268203506427052E-2</v>
      </c>
      <c r="N13" s="34">
        <f>+N12/N$5</f>
        <v>8.2121383021347277E-2</v>
      </c>
      <c r="O13" s="34">
        <f>+O12/O$5</f>
        <v>8.3578099684529394E-2</v>
      </c>
      <c r="P13" s="54"/>
      <c r="Q13" s="149" t="str">
        <f t="shared" si="1"/>
        <v>% Revenue</v>
      </c>
      <c r="R13" s="34">
        <f>+R12/R$5</f>
        <v>0.1</v>
      </c>
      <c r="S13" s="35">
        <f>+S12/S$5</f>
        <v>9.1848290598290611E-2</v>
      </c>
      <c r="T13" s="35">
        <f>+T12/T$5</f>
        <v>9.1063945802077995E-2</v>
      </c>
      <c r="U13" s="34">
        <f>+U12/U$5</f>
        <v>9.1437092741619513E-2</v>
      </c>
      <c r="V13" s="34">
        <f>+V12/V$5</f>
        <v>9.1444478225454193E-2</v>
      </c>
      <c r="W13" s="54"/>
    </row>
    <row r="14" spans="1:23" x14ac:dyDescent="0.2">
      <c r="A14" s="18"/>
      <c r="B14" s="144" t="str">
        <f>+Input!B20</f>
        <v>Distribution</v>
      </c>
      <c r="C14" s="50">
        <f>IF(Input!C$15=Input!B$81,Input!C$20,Input!D$20)</f>
        <v>20000</v>
      </c>
      <c r="D14" s="49">
        <f>+D$5*$C15/D61</f>
        <v>21773.965500989725</v>
      </c>
      <c r="E14" s="49">
        <f>+E$5*$C15/D61/E61</f>
        <v>21773.965500989729</v>
      </c>
      <c r="F14" s="50">
        <f>+F$5*$C15/D61/E61/F61</f>
        <v>23120.808727855074</v>
      </c>
      <c r="G14" s="45">
        <f>AVERAGE(D14:F14)</f>
        <v>22222.913243278173</v>
      </c>
      <c r="H14" s="55"/>
      <c r="I14" s="18"/>
      <c r="J14" s="144" t="str">
        <f t="shared" si="0"/>
        <v>Distribution</v>
      </c>
      <c r="K14" s="212">
        <f>+C14</f>
        <v>20000</v>
      </c>
      <c r="L14" s="49">
        <f>+L$5*$C15/L61</f>
        <v>22381.756756756757</v>
      </c>
      <c r="M14" s="49">
        <f>+M$5*$C15/L61/M61</f>
        <v>22381.756756756753</v>
      </c>
      <c r="N14" s="50">
        <f>+N$5*$C15/L61/M61/N61</f>
        <v>24053.423236514522</v>
      </c>
      <c r="O14" s="45">
        <f>AVERAGE(L14:N14)</f>
        <v>22938.978916676006</v>
      </c>
      <c r="P14" s="55"/>
      <c r="Q14" s="144" t="str">
        <f t="shared" si="1"/>
        <v>Distribution</v>
      </c>
      <c r="R14" s="212">
        <f>+C14</f>
        <v>20000</v>
      </c>
      <c r="S14" s="49">
        <f>+S$5*$C15/S61</f>
        <v>21175.193050193047</v>
      </c>
      <c r="T14" s="49">
        <f>+T$5*$C15/S61/T61</f>
        <v>21175.193050193051</v>
      </c>
      <c r="U14" s="50">
        <f>+U$5*$C15/S61/T61/U61</f>
        <v>22216.595987087789</v>
      </c>
      <c r="V14" s="45">
        <f>AVERAGE(S14:U14)</f>
        <v>21522.327362491294</v>
      </c>
      <c r="W14" s="55"/>
    </row>
    <row r="15" spans="1:23" x14ac:dyDescent="0.2">
      <c r="A15" s="18"/>
      <c r="B15" s="33" t="s">
        <v>128</v>
      </c>
      <c r="C15" s="34">
        <f>+C14/C$5</f>
        <v>0.04</v>
      </c>
      <c r="D15" s="35">
        <f>+D14/D$5</f>
        <v>3.8834951456310676E-2</v>
      </c>
      <c r="E15" s="35">
        <f>+E14/E$5</f>
        <v>3.6985668053629218E-2</v>
      </c>
      <c r="F15" s="34">
        <f>+F14/F$5</f>
        <v>3.6985668053629218E-2</v>
      </c>
      <c r="G15" s="34">
        <f>+G14/G$5</f>
        <v>3.7569969324183293E-2</v>
      </c>
      <c r="H15" s="54"/>
      <c r="I15" s="18"/>
      <c r="J15" s="149" t="str">
        <f t="shared" si="0"/>
        <v>% Revenue</v>
      </c>
      <c r="K15" s="34">
        <f>+K14/K$5</f>
        <v>0.04</v>
      </c>
      <c r="L15" s="35">
        <f>+L14/L$5</f>
        <v>3.8610038610038609E-2</v>
      </c>
      <c r="M15" s="35">
        <f>+M14/M$5</f>
        <v>3.642456472645151E-2</v>
      </c>
      <c r="N15" s="34">
        <f>+N14/N$5</f>
        <v>3.6424564726451517E-2</v>
      </c>
      <c r="O15" s="34">
        <f>+O14/O$5</f>
        <v>3.7107702477352275E-2</v>
      </c>
      <c r="P15" s="54"/>
      <c r="Q15" s="149" t="str">
        <f t="shared" si="1"/>
        <v>% Revenue</v>
      </c>
      <c r="R15" s="34">
        <f>+R14/R$5</f>
        <v>0.04</v>
      </c>
      <c r="S15" s="35">
        <f>+S14/S$5</f>
        <v>3.90625E-2</v>
      </c>
      <c r="T15" s="35">
        <f>+T14/T$5</f>
        <v>3.7560096153846152E-2</v>
      </c>
      <c r="U15" s="34">
        <f>+U14/U$5</f>
        <v>3.7560096153846152E-2</v>
      </c>
      <c r="V15" s="34">
        <f>+V14/V$5</f>
        <v>3.8039921465968581E-2</v>
      </c>
      <c r="W15" s="54"/>
    </row>
    <row r="16" spans="1:23" x14ac:dyDescent="0.2">
      <c r="A16" s="18"/>
      <c r="B16" s="144" t="str">
        <f>+Input!B21</f>
        <v>Marketing</v>
      </c>
      <c r="C16" s="50">
        <f>IF(Input!C$15=Input!B$81,Input!C$21,Input!D$21)</f>
        <v>10000</v>
      </c>
      <c r="D16" s="49">
        <f>+D$5*$C17/D61</f>
        <v>10886.982750494863</v>
      </c>
      <c r="E16" s="49">
        <f>+E$5*$C17/D61/E61</f>
        <v>10886.982750494864</v>
      </c>
      <c r="F16" s="50">
        <f>+F$5*$C17/D61/E61/F61</f>
        <v>11560.404363927537</v>
      </c>
      <c r="G16" s="45">
        <f>AVERAGE(D16:F16)</f>
        <v>11111.456621639087</v>
      </c>
      <c r="H16" s="55"/>
      <c r="I16" s="18"/>
      <c r="J16" s="144" t="str">
        <f t="shared" si="0"/>
        <v>Marketing</v>
      </c>
      <c r="K16" s="212">
        <f>+C16</f>
        <v>10000</v>
      </c>
      <c r="L16" s="49">
        <f>+L$5*$C17/L61</f>
        <v>11190.878378378378</v>
      </c>
      <c r="M16" s="49">
        <f>+M$5*$C17/L61/M61</f>
        <v>11190.878378378377</v>
      </c>
      <c r="N16" s="50">
        <f>+N$5*$C17/L61/M61/N61</f>
        <v>12026.711618257261</v>
      </c>
      <c r="O16" s="45">
        <f>AVERAGE(L16:N16)</f>
        <v>11469.489458338003</v>
      </c>
      <c r="P16" s="55"/>
      <c r="Q16" s="144" t="str">
        <f t="shared" si="1"/>
        <v>Marketing</v>
      </c>
      <c r="R16" s="212">
        <f>+C16</f>
        <v>10000</v>
      </c>
      <c r="S16" s="49">
        <f>+S$5*$C17/S61</f>
        <v>10587.596525096524</v>
      </c>
      <c r="T16" s="49">
        <f>+T$5*$C17/S61/T61</f>
        <v>10587.596525096526</v>
      </c>
      <c r="U16" s="50">
        <f>+U$5*$C17/S61/T61/U61</f>
        <v>11108.297993543894</v>
      </c>
      <c r="V16" s="45">
        <f>AVERAGE(S16:U16)</f>
        <v>10761.163681245647</v>
      </c>
      <c r="W16" s="55"/>
    </row>
    <row r="17" spans="1:23" x14ac:dyDescent="0.2">
      <c r="A17" s="18"/>
      <c r="B17" s="33" t="s">
        <v>128</v>
      </c>
      <c r="C17" s="34">
        <f>+C16/C$5</f>
        <v>0.02</v>
      </c>
      <c r="D17" s="35">
        <f>+D16/D$5</f>
        <v>1.9417475728155338E-2</v>
      </c>
      <c r="E17" s="35">
        <f>+E16/E$5</f>
        <v>1.8492834026814609E-2</v>
      </c>
      <c r="F17" s="34">
        <f>+F16/F$5</f>
        <v>1.8492834026814609E-2</v>
      </c>
      <c r="G17" s="34">
        <f>+G16/G$5</f>
        <v>1.8784984662091646E-2</v>
      </c>
      <c r="H17" s="54"/>
      <c r="I17" s="18"/>
      <c r="J17" s="149" t="str">
        <f t="shared" si="0"/>
        <v>% Revenue</v>
      </c>
      <c r="K17" s="34">
        <f>+K16/K$5</f>
        <v>0.02</v>
      </c>
      <c r="L17" s="35">
        <f>+L16/L$5</f>
        <v>1.9305019305019305E-2</v>
      </c>
      <c r="M17" s="35">
        <f>+M16/M$5</f>
        <v>1.8212282363225755E-2</v>
      </c>
      <c r="N17" s="34">
        <f>+N16/N$5</f>
        <v>1.8212282363225758E-2</v>
      </c>
      <c r="O17" s="34">
        <f>+O16/O$5</f>
        <v>1.8553851238676138E-2</v>
      </c>
      <c r="P17" s="54"/>
      <c r="Q17" s="149" t="str">
        <f t="shared" si="1"/>
        <v>% Revenue</v>
      </c>
      <c r="R17" s="34">
        <f>+R16/R$5</f>
        <v>0.02</v>
      </c>
      <c r="S17" s="35">
        <f>+S16/S$5</f>
        <v>1.953125E-2</v>
      </c>
      <c r="T17" s="35">
        <f>+T16/T$5</f>
        <v>1.8780048076923076E-2</v>
      </c>
      <c r="U17" s="34">
        <f>+U16/U$5</f>
        <v>1.8780048076923076E-2</v>
      </c>
      <c r="V17" s="34">
        <f>+V16/V$5</f>
        <v>1.901996073298429E-2</v>
      </c>
      <c r="W17" s="54"/>
    </row>
    <row r="18" spans="1:23" x14ac:dyDescent="0.2">
      <c r="A18" s="18"/>
      <c r="B18" s="144" t="str">
        <f>+Input!B22</f>
        <v>Other</v>
      </c>
      <c r="C18" s="50">
        <f>IF(Input!C$15=Input!B$81,Input!C$22,Input!D$22)</f>
        <v>20000</v>
      </c>
      <c r="D18" s="50">
        <f>+D$5*$C19/D61</f>
        <v>21773.965500989725</v>
      </c>
      <c r="E18" s="50">
        <f>+E$5*$C19/D61/E61</f>
        <v>21773.965500989729</v>
      </c>
      <c r="F18" s="50">
        <f>+F$5*$C19/D61/E61/F61</f>
        <v>23120.808727855074</v>
      </c>
      <c r="G18" s="45">
        <f>AVERAGE(D18:F18)</f>
        <v>22222.913243278173</v>
      </c>
      <c r="H18" s="55"/>
      <c r="I18" s="18"/>
      <c r="J18" s="144" t="str">
        <f t="shared" si="0"/>
        <v>Other</v>
      </c>
      <c r="K18" s="212">
        <f>+C18</f>
        <v>20000</v>
      </c>
      <c r="L18" s="50">
        <f>+L$5*$C19/L61</f>
        <v>22381.756756756757</v>
      </c>
      <c r="M18" s="50">
        <f>+M$5*$C19/L61/M61</f>
        <v>22381.756756756753</v>
      </c>
      <c r="N18" s="50">
        <f>+N$5*$C19/L61/M61/N61</f>
        <v>24053.423236514522</v>
      </c>
      <c r="O18" s="45">
        <f>AVERAGE(L18:N18)</f>
        <v>22938.978916676006</v>
      </c>
      <c r="P18" s="55"/>
      <c r="Q18" s="144" t="str">
        <f t="shared" si="1"/>
        <v>Other</v>
      </c>
      <c r="R18" s="212">
        <f>+C18</f>
        <v>20000</v>
      </c>
      <c r="S18" s="50">
        <f>+S$5*$C19/S61</f>
        <v>21175.193050193047</v>
      </c>
      <c r="T18" s="50">
        <f>+T$5*$C19/S61/T61</f>
        <v>21175.193050193051</v>
      </c>
      <c r="U18" s="50">
        <f>+U$5*$C19/S61/T61/U61</f>
        <v>22216.595987087789</v>
      </c>
      <c r="V18" s="45">
        <f>AVERAGE(S18:U18)</f>
        <v>21522.327362491294</v>
      </c>
      <c r="W18" s="55"/>
    </row>
    <row r="19" spans="1:23" x14ac:dyDescent="0.2">
      <c r="A19" s="18"/>
      <c r="B19" s="33" t="s">
        <v>128</v>
      </c>
      <c r="C19" s="34">
        <f>+C18/C$5</f>
        <v>0.04</v>
      </c>
      <c r="D19" s="35">
        <f>+D18/D$5</f>
        <v>3.8834951456310676E-2</v>
      </c>
      <c r="E19" s="35">
        <f>+E18/E$5</f>
        <v>3.6985668053629218E-2</v>
      </c>
      <c r="F19" s="34">
        <f>+F18/F$5</f>
        <v>3.6985668053629218E-2</v>
      </c>
      <c r="G19" s="34">
        <f>+G18/G$5</f>
        <v>3.7569969324183293E-2</v>
      </c>
      <c r="H19" s="54"/>
      <c r="I19" s="18"/>
      <c r="J19" s="149" t="str">
        <f t="shared" si="0"/>
        <v>% Revenue</v>
      </c>
      <c r="K19" s="34">
        <f>+K18/K$5</f>
        <v>0.04</v>
      </c>
      <c r="L19" s="35">
        <f>+L18/L$5</f>
        <v>3.8610038610038609E-2</v>
      </c>
      <c r="M19" s="35">
        <f>+M18/M$5</f>
        <v>3.642456472645151E-2</v>
      </c>
      <c r="N19" s="34">
        <f>+N18/N$5</f>
        <v>3.6424564726451517E-2</v>
      </c>
      <c r="O19" s="34">
        <f>+O18/O$5</f>
        <v>3.7107702477352275E-2</v>
      </c>
      <c r="P19" s="54"/>
      <c r="Q19" s="149" t="str">
        <f t="shared" si="1"/>
        <v>% Revenue</v>
      </c>
      <c r="R19" s="34">
        <f>+R18/R$5</f>
        <v>0.04</v>
      </c>
      <c r="S19" s="35">
        <f>+S18/S$5</f>
        <v>3.90625E-2</v>
      </c>
      <c r="T19" s="35">
        <f>+T18/T$5</f>
        <v>3.7560096153846152E-2</v>
      </c>
      <c r="U19" s="34">
        <f>+U18/U$5</f>
        <v>3.7560096153846152E-2</v>
      </c>
      <c r="V19" s="34">
        <f>+V18/V$5</f>
        <v>3.8039921465968581E-2</v>
      </c>
      <c r="W19" s="54"/>
    </row>
    <row r="20" spans="1:23" x14ac:dyDescent="0.2">
      <c r="A20" s="18"/>
      <c r="B20" s="144" t="str">
        <f>+Input!B23</f>
        <v>Total Variable Costs</v>
      </c>
      <c r="C20" s="51">
        <f>+C8+C10+C12+C14+C16+C18</f>
        <v>310000</v>
      </c>
      <c r="D20" s="51">
        <f>+D8+D10+D12+D14+D16+D18</f>
        <v>338040.81440286536</v>
      </c>
      <c r="E20" s="51">
        <f>+E8+E10+E12+E14+E16+E18</f>
        <v>346777.61806013767</v>
      </c>
      <c r="F20" s="51">
        <f>+F8+F10+F12+F14+F16+F18</f>
        <v>383111.80062055867</v>
      </c>
      <c r="G20" s="291">
        <f>AVERAGE(D20:F20)</f>
        <v>355976.74436118727</v>
      </c>
      <c r="H20" s="58"/>
      <c r="I20" s="18"/>
      <c r="J20" s="144" t="str">
        <f t="shared" si="0"/>
        <v>Total Variable Costs</v>
      </c>
      <c r="K20" s="51">
        <f>+K8+K10+K12+K14+K16+K18</f>
        <v>310000</v>
      </c>
      <c r="L20" s="51">
        <f>+L8+L10+L12+L14+L16+L18</f>
        <v>347476.7736486487</v>
      </c>
      <c r="M20" s="51">
        <f>+M8+M10+M12+M14+M16+M18</f>
        <v>354778.82179054053</v>
      </c>
      <c r="N20" s="51">
        <f>+N8+N10+N12+N14+N16+N18</f>
        <v>393592.1777748962</v>
      </c>
      <c r="O20" s="45">
        <f>AVERAGE(L20:N20)</f>
        <v>365282.59107136185</v>
      </c>
      <c r="P20" s="58"/>
      <c r="Q20" s="144" t="str">
        <f t="shared" si="1"/>
        <v>Total Variable Costs</v>
      </c>
      <c r="R20" s="51">
        <f>+R8+R10+R12+R14+R16+R18</f>
        <v>310000</v>
      </c>
      <c r="S20" s="51">
        <f>+S8+S10+S12+S14+S16+S18</f>
        <v>328744.8721042471</v>
      </c>
      <c r="T20" s="51">
        <f>+T8+T10+T12+T14+T16+T18</f>
        <v>338829.55779440154</v>
      </c>
      <c r="U20" s="51">
        <f>+U8+U10+U12+U14+U16+U18</f>
        <v>372755.6016203558</v>
      </c>
      <c r="V20" s="45">
        <f>AVERAGE(S20:U20)</f>
        <v>346776.67717300146</v>
      </c>
      <c r="W20" s="58"/>
    </row>
    <row r="21" spans="1:23" x14ac:dyDescent="0.2">
      <c r="A21" s="18"/>
      <c r="B21" s="33" t="s">
        <v>44</v>
      </c>
      <c r="C21" s="37">
        <f>IF(C20=0,0,+C20/C$5)</f>
        <v>0.62</v>
      </c>
      <c r="D21" s="37">
        <f>IF(D20=0,0,+D20/D$5)</f>
        <v>0.60291262135922308</v>
      </c>
      <c r="E21" s="37">
        <f>IF(E20=0,0,+E20/E$5)</f>
        <v>0.58904299583911235</v>
      </c>
      <c r="F21" s="37">
        <f>IF(F20=0,0,+F20/F$5)</f>
        <v>0.6128525196486363</v>
      </c>
      <c r="G21" s="37">
        <f>IF(G20=0,0,+G20/G$5)</f>
        <v>0.60181287751810519</v>
      </c>
      <c r="H21" s="53"/>
      <c r="I21" s="18"/>
      <c r="J21" s="149" t="str">
        <f t="shared" si="0"/>
        <v>Total Variable Costs %</v>
      </c>
      <c r="K21" s="37">
        <f>IF(K20=0,0,+K20/K$5)</f>
        <v>0.62</v>
      </c>
      <c r="L21" s="37">
        <f>IF(L20=0,0,+L20/L$5)</f>
        <v>0.5994208494208495</v>
      </c>
      <c r="M21" s="37">
        <f>IF(M20=0,0,+M20/M$5)</f>
        <v>0.57737488162016459</v>
      </c>
      <c r="N21" s="37">
        <f>IF(N20=0,0,+N20/N$5)</f>
        <v>0.59602425876010767</v>
      </c>
      <c r="O21" s="37">
        <f>IF(O20=0,0,+O20/O$5)</f>
        <v>0.59090676001181841</v>
      </c>
      <c r="P21" s="53"/>
      <c r="Q21" s="149" t="str">
        <f t="shared" si="1"/>
        <v>Total Variable Costs %</v>
      </c>
      <c r="R21" s="37">
        <f>IF(R20=0,0,+R20/R$5)</f>
        <v>0.62</v>
      </c>
      <c r="S21" s="37">
        <f>IF(S20=0,0,+S20/S$5)</f>
        <v>0.60644531250000011</v>
      </c>
      <c r="T21" s="37">
        <f>IF(T20=0,0,+T20/T$5)</f>
        <v>0.60100848858173073</v>
      </c>
      <c r="U21" s="37">
        <f>IF(U20=0,0,+U20/U$5)</f>
        <v>0.63019268329326938</v>
      </c>
      <c r="V21" s="37">
        <f>IF(V20=0,0,+V20/V$5)</f>
        <v>0.61291501349803656</v>
      </c>
      <c r="W21" s="53"/>
    </row>
    <row r="22" spans="1:23" x14ac:dyDescent="0.2">
      <c r="A22" s="18"/>
      <c r="B22" s="30" t="s">
        <v>129</v>
      </c>
      <c r="C22" s="36">
        <f>+C5-C20</f>
        <v>190000</v>
      </c>
      <c r="D22" s="36">
        <f>+D5-D20</f>
        <v>222638.79724762007</v>
      </c>
      <c r="E22" s="36">
        <f>+E5-E20</f>
        <v>241935.97417287208</v>
      </c>
      <c r="F22" s="36">
        <f>+F5-F20</f>
        <v>242017.06535882293</v>
      </c>
      <c r="G22" s="36">
        <f>+G5-G20</f>
        <v>235530.61225977162</v>
      </c>
      <c r="H22" s="53"/>
      <c r="I22" s="18"/>
      <c r="J22" s="144" t="str">
        <f t="shared" si="0"/>
        <v>Gross Profit</v>
      </c>
      <c r="K22" s="36">
        <f>+K5-K20</f>
        <v>190000</v>
      </c>
      <c r="L22" s="36">
        <f>+L5-L20</f>
        <v>232210.7263513513</v>
      </c>
      <c r="M22" s="36">
        <f>+M5-M20</f>
        <v>259689.92820945947</v>
      </c>
      <c r="N22" s="36">
        <f>+N5-N20</f>
        <v>266770.50376037351</v>
      </c>
      <c r="O22" s="36">
        <f>+O5-O20</f>
        <v>252890.38610706135</v>
      </c>
      <c r="P22" s="53"/>
      <c r="Q22" s="144" t="str">
        <f t="shared" si="1"/>
        <v>Gross Profit</v>
      </c>
      <c r="R22" s="36">
        <f>+R5-R20</f>
        <v>190000</v>
      </c>
      <c r="S22" s="36">
        <f>+S5-S20</f>
        <v>213340.06998069491</v>
      </c>
      <c r="T22" s="36">
        <f>+T5-T20</f>
        <v>224938.78197393822</v>
      </c>
      <c r="U22" s="36">
        <f>+U5-U20</f>
        <v>218739.0499398695</v>
      </c>
      <c r="V22" s="36">
        <f>+V5-V20</f>
        <v>219005.96729816764</v>
      </c>
      <c r="W22" s="53"/>
    </row>
    <row r="23" spans="1:23" x14ac:dyDescent="0.2">
      <c r="A23" s="18"/>
      <c r="B23" s="33" t="s">
        <v>130</v>
      </c>
      <c r="C23" s="37">
        <f>IF(C22=0,0,+C22/C$5)</f>
        <v>0.38</v>
      </c>
      <c r="D23" s="37">
        <f>IF(D22=0,0,+D22/D$5)</f>
        <v>0.39708737864077692</v>
      </c>
      <c r="E23" s="37">
        <f>IF(E22=0,0,+E22/E$5)</f>
        <v>0.4109570041608876</v>
      </c>
      <c r="F23" s="37">
        <f>IF(F22=0,0,+F22/F$5)</f>
        <v>0.38714748035136376</v>
      </c>
      <c r="G23" s="37">
        <f>IF(G22=0,0,+G22/G$5)</f>
        <v>0.39818712248189486</v>
      </c>
      <c r="H23" s="53"/>
      <c r="I23" s="18"/>
      <c r="J23" s="149" t="str">
        <f t="shared" si="0"/>
        <v>Gross Profit %</v>
      </c>
      <c r="K23" s="37">
        <f>IF(K22=0,0,+K22/K$5)</f>
        <v>0.38</v>
      </c>
      <c r="L23" s="37">
        <f>IF(L22=0,0,+L22/L$5)</f>
        <v>0.4005791505791505</v>
      </c>
      <c r="M23" s="37">
        <f>IF(M22=0,0,+M22/M$5)</f>
        <v>0.42262511837983535</v>
      </c>
      <c r="N23" s="37">
        <f>IF(N22=0,0,+N22/N$5)</f>
        <v>0.40397574123989227</v>
      </c>
      <c r="O23" s="37">
        <f>IF(O22=0,0,+O22/O$5)</f>
        <v>0.40909323998818153</v>
      </c>
      <c r="P23" s="53"/>
      <c r="Q23" s="149" t="str">
        <f t="shared" si="1"/>
        <v>Gross Profit %</v>
      </c>
      <c r="R23" s="37">
        <f>IF(R22=0,0,+R22/R$5)</f>
        <v>0.38</v>
      </c>
      <c r="S23" s="37">
        <f>IF(S22=0,0,+S22/S$5)</f>
        <v>0.39355468749999994</v>
      </c>
      <c r="T23" s="37">
        <f>IF(T22=0,0,+T22/T$5)</f>
        <v>0.39899151141826922</v>
      </c>
      <c r="U23" s="37">
        <f>IF(U22=0,0,+U22/U$5)</f>
        <v>0.36980731670673062</v>
      </c>
      <c r="V23" s="37">
        <f>IF(V22=0,0,+V22/V$5)</f>
        <v>0.38708498650196338</v>
      </c>
      <c r="W23" s="53"/>
    </row>
    <row r="24" spans="1:23" x14ac:dyDescent="0.2">
      <c r="A24" s="18"/>
      <c r="B24" s="33" t="s">
        <v>131</v>
      </c>
      <c r="C24" s="37">
        <f>IF(C5=0,0,+C5/C20-1)</f>
        <v>0.61290322580645151</v>
      </c>
      <c r="D24" s="38">
        <f>IF(D5=0,0,+D5/D20-1)</f>
        <v>0.65861513687600715</v>
      </c>
      <c r="E24" s="38">
        <f>IF(E5=0,0,+E5/E20-1)</f>
        <v>0.69766894278314084</v>
      </c>
      <c r="F24" s="37">
        <f>IF(F5=0,0,+F5/F20-1)</f>
        <v>0.63171394085697008</v>
      </c>
      <c r="G24" s="37">
        <f>IF(G5=0,0,+G5/G20-1)</f>
        <v>0.66164606534182324</v>
      </c>
      <c r="H24" s="53"/>
      <c r="I24" s="18"/>
      <c r="J24" s="149" t="str">
        <f t="shared" si="0"/>
        <v>Mark-up Equivalent</v>
      </c>
      <c r="K24" s="37">
        <f>IF(K5=0,0,+K5/K20-1)</f>
        <v>0.61290322580645151</v>
      </c>
      <c r="L24" s="38">
        <f>IF(L5=0,0,+L5/L20-1)</f>
        <v>0.66827697262479857</v>
      </c>
      <c r="M24" s="38">
        <f>IF(M5=0,0,+M5/M20-1)</f>
        <v>0.73197697342480872</v>
      </c>
      <c r="N24" s="37">
        <f>IF(N5=0,0,+N5/N20-1)</f>
        <v>0.67778405879027726</v>
      </c>
      <c r="O24" s="37">
        <f>IF(O5=0,0,+O5/O20-1)</f>
        <v>0.69231436780313604</v>
      </c>
      <c r="P24" s="53"/>
      <c r="Q24" s="149" t="str">
        <f t="shared" si="1"/>
        <v>Mark-up Equivalent</v>
      </c>
      <c r="R24" s="37">
        <f>IF(R5=0,0,+R5/R20-1)</f>
        <v>0.61290322580645151</v>
      </c>
      <c r="S24" s="38">
        <f>IF(S5=0,0,+S5/S20-1)</f>
        <v>0.64895330112721394</v>
      </c>
      <c r="T24" s="38">
        <f>IF(T5=0,0,+T5/T20-1)</f>
        <v>0.66387001015545666</v>
      </c>
      <c r="U24" s="37">
        <f>IF(U5=0,0,+U5/U20-1)</f>
        <v>0.58681626510512075</v>
      </c>
      <c r="V24" s="37">
        <f>IF(V5=0,0,+V5/V20-1)</f>
        <v>0.6315475685491645</v>
      </c>
      <c r="W24" s="53"/>
    </row>
    <row r="25" spans="1:23" x14ac:dyDescent="0.2">
      <c r="A25" s="18"/>
      <c r="B25" s="143" t="str">
        <f>+Input!B24</f>
        <v>Fixed Costs</v>
      </c>
      <c r="C25" s="28"/>
      <c r="D25" s="39"/>
      <c r="E25" s="39"/>
      <c r="F25" s="28"/>
      <c r="G25" s="28"/>
      <c r="H25" s="53"/>
      <c r="I25" s="18"/>
      <c r="J25" s="143" t="str">
        <f t="shared" si="0"/>
        <v>Fixed Costs</v>
      </c>
      <c r="K25" s="28"/>
      <c r="L25" s="39"/>
      <c r="M25" s="39"/>
      <c r="N25" s="28"/>
      <c r="O25" s="28"/>
      <c r="P25" s="53"/>
      <c r="Q25" s="143" t="str">
        <f t="shared" si="1"/>
        <v>Fixed Costs</v>
      </c>
      <c r="R25" s="28"/>
      <c r="S25" s="39"/>
      <c r="T25" s="39"/>
      <c r="U25" s="28"/>
      <c r="V25" s="28"/>
      <c r="W25" s="53"/>
    </row>
    <row r="26" spans="1:23" x14ac:dyDescent="0.2">
      <c r="A26" s="18"/>
      <c r="B26" s="144" t="str">
        <f>+Input!B25</f>
        <v>Location</v>
      </c>
      <c r="C26" s="50">
        <f>IF(Input!C$15=Input!B$81,Input!C$25,Input!D$25)</f>
        <v>40000</v>
      </c>
      <c r="D26" s="49">
        <f>$C26+$C26*(D$5-$C$5)/$C$5*$C$63</f>
        <v>41213.592233009709</v>
      </c>
      <c r="E26" s="49">
        <f>$C26+$C26*(E$5-$C$5)/$C$5*$C$63</f>
        <v>41774.271844660194</v>
      </c>
      <c r="F26" s="50">
        <f>$C26+$C26*(F$5-$C$5)/$C$5*$C$63</f>
        <v>42502.577319587632</v>
      </c>
      <c r="G26" s="45">
        <f>AVERAGE(D26:F26)</f>
        <v>41830.147132419173</v>
      </c>
      <c r="H26" s="53"/>
      <c r="I26" s="18"/>
      <c r="J26" s="144" t="str">
        <f t="shared" si="0"/>
        <v>Location</v>
      </c>
      <c r="K26" s="212">
        <f>+C26</f>
        <v>40000</v>
      </c>
      <c r="L26" s="49">
        <f>$C26+$C26*(L$5-$C$5)/$C$5*$C$63</f>
        <v>41593.75</v>
      </c>
      <c r="M26" s="49">
        <f>$C26+$C26*(M$5-$C$5)/$C$5*$C$63</f>
        <v>42289.375</v>
      </c>
      <c r="N26" s="50">
        <f>$C26+$C26*(N$5-$C$5)/$C$5*$C$63</f>
        <v>43207.253630705396</v>
      </c>
      <c r="O26" s="45">
        <f>AVERAGE(L26:N26)</f>
        <v>42363.459543568468</v>
      </c>
      <c r="P26" s="53"/>
      <c r="Q26" s="144" t="str">
        <f t="shared" si="1"/>
        <v>Location</v>
      </c>
      <c r="R26" s="212">
        <f>+C26</f>
        <v>40000</v>
      </c>
      <c r="S26" s="49">
        <f>$C26+$C26*(S$5-$C$5)/$C$5*$C$63</f>
        <v>40841.698841698839</v>
      </c>
      <c r="T26" s="49">
        <f>$C26+$C26*(T$5-$C$5)/$C$5*$C$63</f>
        <v>41275.366795366797</v>
      </c>
      <c r="U26" s="50">
        <f>$C26+$C26*(U$5-$C$5)/$C$5*$C$63</f>
        <v>41829.893031204505</v>
      </c>
      <c r="V26" s="45">
        <f>AVERAGE(S26:U26)</f>
        <v>41315.652889423385</v>
      </c>
      <c r="W26" s="53"/>
    </row>
    <row r="27" spans="1:23" x14ac:dyDescent="0.2">
      <c r="A27" s="18"/>
      <c r="B27" s="33" t="s">
        <v>128</v>
      </c>
      <c r="C27" s="34">
        <f>+C26/C$5</f>
        <v>0.08</v>
      </c>
      <c r="D27" s="35">
        <f>+D26/D$5</f>
        <v>7.3506493506493506E-2</v>
      </c>
      <c r="E27" s="35">
        <f>+E26/E$5</f>
        <v>7.0958565244279528E-2</v>
      </c>
      <c r="F27" s="34">
        <f>+F26/F$5</f>
        <v>6.7990105132962261E-2</v>
      </c>
      <c r="G27" s="34">
        <f>+G26/G$5</f>
        <v>7.0717881467067131E-2</v>
      </c>
      <c r="H27" s="53"/>
      <c r="I27" s="18"/>
      <c r="J27" s="149" t="str">
        <f t="shared" si="0"/>
        <v>% Revenue</v>
      </c>
      <c r="K27" s="34">
        <f>+K26/K$5</f>
        <v>0.08</v>
      </c>
      <c r="L27" s="35">
        <f>+L26/L$5</f>
        <v>7.1752021563342316E-2</v>
      </c>
      <c r="M27" s="35">
        <f>+M26/M$5</f>
        <v>6.8822661852209741E-2</v>
      </c>
      <c r="N27" s="34">
        <f>+N26/N$5</f>
        <v>6.5429581105724124E-2</v>
      </c>
      <c r="O27" s="34">
        <f>+O26/O$5</f>
        <v>6.8530105823990273E-2</v>
      </c>
      <c r="P27" s="53"/>
      <c r="Q27" s="149" t="str">
        <f t="shared" si="1"/>
        <v>% Revenue</v>
      </c>
      <c r="R27" s="34">
        <f>+R26/R$5</f>
        <v>0.08</v>
      </c>
      <c r="S27" s="35">
        <f>+S26/S$5</f>
        <v>7.5341880341880343E-2</v>
      </c>
      <c r="T27" s="35">
        <f>+T26/T$5</f>
        <v>7.3213346482577255E-2</v>
      </c>
      <c r="U27" s="34">
        <f>+U26/U$5</f>
        <v>7.0718970866206446E-2</v>
      </c>
      <c r="V27" s="34">
        <f>+V26/V$5</f>
        <v>7.3023895824942953E-2</v>
      </c>
      <c r="W27" s="53"/>
    </row>
    <row r="28" spans="1:23" x14ac:dyDescent="0.2">
      <c r="A28" s="18"/>
      <c r="B28" s="144" t="str">
        <f>+Input!B26</f>
        <v>Administration</v>
      </c>
      <c r="C28" s="50">
        <f>IF(Input!C$15=Input!B$81,Input!C$26,Input!D$26)</f>
        <v>30000</v>
      </c>
      <c r="D28" s="49">
        <f>($C28+$C28*(D$5-$C$5)/$C$5*$C$63)/D62</f>
        <v>30910.194174757282</v>
      </c>
      <c r="E28" s="49">
        <f>($C28+$C28*(E$5-$C$5)/$C$5*$C$63)/D62/E62</f>
        <v>30716.376356367789</v>
      </c>
      <c r="F28" s="50">
        <f>($C28+$C28*(F$5-$C$5)/$C$5*$C$63)/D62/E62/F62</f>
        <v>29763.709607554363</v>
      </c>
      <c r="G28" s="45">
        <f>AVERAGE(D28:F28)</f>
        <v>30463.426712893142</v>
      </c>
      <c r="H28" s="53"/>
      <c r="I28" s="18"/>
      <c r="J28" s="144" t="str">
        <f t="shared" si="0"/>
        <v>Administration</v>
      </c>
      <c r="K28" s="212">
        <f>+C28</f>
        <v>30000</v>
      </c>
      <c r="L28" s="49">
        <f>($C28+$C28*(L$5-$C$5)/$C$5*$C$63)/L62</f>
        <v>31195.3125</v>
      </c>
      <c r="M28" s="49">
        <f>($C28+$C28*(M$5-$C$5)/$C$5*$C$63)/L62/M62</f>
        <v>30973.663330078125</v>
      </c>
      <c r="N28" s="50">
        <f>($C28+$C28*(N$5-$C$5)/$C$5*$C$63)/L62/M62/N62</f>
        <v>29854.658224341321</v>
      </c>
      <c r="O28" s="45">
        <f>AVERAGE(L28:N28)</f>
        <v>30674.544684806478</v>
      </c>
      <c r="P28" s="53"/>
      <c r="Q28" s="144" t="str">
        <f t="shared" si="1"/>
        <v>Administration</v>
      </c>
      <c r="R28" s="212">
        <f>+C28</f>
        <v>30000</v>
      </c>
      <c r="S28" s="49">
        <f>($C28+$C28*(S$5-$C$5)/$C$5*$C$63)/S62</f>
        <v>30631.274131274131</v>
      </c>
      <c r="T28" s="49">
        <f>($C28+$C28*(T$5-$C$5)/$C$5*$C$63)/S62/T62</f>
        <v>30469.020764296354</v>
      </c>
      <c r="U28" s="50">
        <f>($C28+$C28*(U$5-$C$5)/$C$5*$C$63)/S62/T62/U62</f>
        <v>29690.736460292417</v>
      </c>
      <c r="V28" s="45">
        <f>AVERAGE(S28:U28)</f>
        <v>30263.677118620966</v>
      </c>
      <c r="W28" s="53"/>
    </row>
    <row r="29" spans="1:23" x14ac:dyDescent="0.2">
      <c r="A29" s="18"/>
      <c r="B29" s="33" t="s">
        <v>128</v>
      </c>
      <c r="C29" s="34">
        <f>+C28/C$5</f>
        <v>0.06</v>
      </c>
      <c r="D29" s="35">
        <f>+D28/D$5</f>
        <v>5.5129870129870133E-2</v>
      </c>
      <c r="E29" s="35">
        <f>+E28/E$5</f>
        <v>5.2175415620793766E-2</v>
      </c>
      <c r="F29" s="34">
        <f>+F28/F$5</f>
        <v>4.7612118440449762E-2</v>
      </c>
      <c r="G29" s="34">
        <f>+G28/G$5</f>
        <v>5.150134883684003E-2</v>
      </c>
      <c r="H29" s="53"/>
      <c r="I29" s="18"/>
      <c r="J29" s="149" t="str">
        <f t="shared" si="0"/>
        <v>% Revenue</v>
      </c>
      <c r="K29" s="34">
        <f>+K28/K$5</f>
        <v>0.06</v>
      </c>
      <c r="L29" s="35">
        <f>+L28/L$5</f>
        <v>5.3814016172506737E-2</v>
      </c>
      <c r="M29" s="35">
        <f>+M28/M$5</f>
        <v>5.0407223036286426E-2</v>
      </c>
      <c r="N29" s="34">
        <f>+N28/N$5</f>
        <v>4.520948723954625E-2</v>
      </c>
      <c r="O29" s="34">
        <f>+O28/O$5</f>
        <v>4.9621296655212553E-2</v>
      </c>
      <c r="P29" s="53"/>
      <c r="Q29" s="149" t="str">
        <f t="shared" si="1"/>
        <v>% Revenue</v>
      </c>
      <c r="R29" s="34">
        <f>+R28/R$5</f>
        <v>0.06</v>
      </c>
      <c r="S29" s="35">
        <f>+S28/S$5</f>
        <v>5.6506410256410261E-2</v>
      </c>
      <c r="T29" s="35">
        <f>+T28/T$5</f>
        <v>5.4045285297178086E-2</v>
      </c>
      <c r="U29" s="34">
        <f>+U28/U$5</f>
        <v>5.0196119917526157E-2</v>
      </c>
      <c r="V29" s="34">
        <f>+V28/V$5</f>
        <v>5.3489935427248919E-2</v>
      </c>
      <c r="W29" s="53"/>
    </row>
    <row r="30" spans="1:23" x14ac:dyDescent="0.2">
      <c r="A30" s="18"/>
      <c r="B30" s="144" t="str">
        <f>+Input!B27</f>
        <v>Labor excluding Owner</v>
      </c>
      <c r="C30" s="50">
        <f>IF(Input!C$15=Input!B$81,Input!C$27,Input!D$27)</f>
        <v>50000</v>
      </c>
      <c r="D30" s="49">
        <f>($C30+$C30*(D$5-$C$5)/$C$5*$C$63)*$D58/D62+($C32+$C32*(D$5-$C$5)/$C$5*$C$63)*$D58/D62-D32</f>
        <v>51516.990291262133</v>
      </c>
      <c r="E30" s="49">
        <f>($C30+$C30*(E$5-$C$5)/$C$5*$C$63)*$D58*$E58/D62/E62+($C32+$C32*(E$5-$C$5)/$C$5*$C$63)*$D58*$E58/D62/E62-E32</f>
        <v>52729.779411764714</v>
      </c>
      <c r="F30" s="50">
        <f>($C30+$C30*(F$5-$C$5)/$C$5*$C$63)*$D58*$E58*F58/D62/E62/F62+($C32+$C32*(F$5-$C$5)/$C$5*$C$63)*$D58*$E58*F58/D62/E62/F62-F32</f>
        <v>53649.086567616738</v>
      </c>
      <c r="G30" s="45">
        <f>AVERAGE(D30:F30)</f>
        <v>52631.95209021453</v>
      </c>
      <c r="H30" s="53"/>
      <c r="I30" s="18"/>
      <c r="J30" s="144" t="str">
        <f t="shared" si="0"/>
        <v>Labor excluding Owner</v>
      </c>
      <c r="K30" s="212">
        <f>+C30</f>
        <v>50000</v>
      </c>
      <c r="L30" s="49">
        <f>($C30+$C30*(L$5-$C$5)/$C$5*$C$63)*$D58/L62+($C32+$C32*(L$5-$C$5)/$C$5*$C$63)*$D58/L62-L32</f>
        <v>51992.1875</v>
      </c>
      <c r="M30" s="49">
        <f>($C30+$C30*(M$5-$C$5)/$C$5*$C$63)*$D58*$E58/L62/M62+($C32+$C32*(M$5-$C$5)/$C$5*$C$63)*$D58*$E58/L62/M62-M32</f>
        <v>53171.455383300781</v>
      </c>
      <c r="N30" s="50">
        <f>($C30+$C30*(N$5-$C$5)/$C$5*$C$63)*$D58*$E58*N58/L62/M62/N62+($C32+$C32*(N$5-$C$5)/$C$5*$C$63)*$D58*$E58*N58/L62/M62/N62-N32</f>
        <v>53300.516483190717</v>
      </c>
      <c r="O30" s="45">
        <f>AVERAGE(L30:N30)</f>
        <v>52821.386455497159</v>
      </c>
      <c r="P30" s="53"/>
      <c r="Q30" s="144" t="str">
        <f t="shared" si="1"/>
        <v>Labor excluding Owner</v>
      </c>
      <c r="R30" s="212">
        <f>+C30</f>
        <v>50000</v>
      </c>
      <c r="S30" s="49">
        <f>($C30+$C30*(S$5-$C$5)/$C$5*$C$63)*$D58/S62+($C32+$C32*(S$5-$C$5)/$C$5*$C$63)*$D58/S62-S32</f>
        <v>51052.12355212355</v>
      </c>
      <c r="T30" s="49">
        <f>($C30+$C30*(T$5-$C$5)/$C$5*$C$63)*$D58*$E58/S62/T62+($C32+$C32*(T$5-$C$5)/$C$5*$C$63)*$D58*$E58/S62/T62-T32</f>
        <v>52305.152312042075</v>
      </c>
      <c r="U30" s="50">
        <f>($C30+$C30*(U$5-$C$5)/$C$5*$C$63)*$D58*$E58*U58/S62/T62/U62+($C32+$C32*(U$5-$C$5)/$C$5*$C$63)*$D58*$E58*U58/S62/T62/U62-U32</f>
        <v>54027.243445578766</v>
      </c>
      <c r="V30" s="45">
        <f>AVERAGE(S30:U30)</f>
        <v>52461.506436581461</v>
      </c>
      <c r="W30" s="53"/>
    </row>
    <row r="31" spans="1:23" x14ac:dyDescent="0.2">
      <c r="A31" s="18"/>
      <c r="B31" s="33" t="s">
        <v>128</v>
      </c>
      <c r="C31" s="34">
        <f>+C30/C$5</f>
        <v>0.1</v>
      </c>
      <c r="D31" s="35">
        <f>+D30/D$5</f>
        <v>9.1883116883116872E-2</v>
      </c>
      <c r="E31" s="35">
        <f>+E30/E$5</f>
        <v>8.9567796815695988E-2</v>
      </c>
      <c r="F31" s="34">
        <f>+F30/F$5</f>
        <v>8.5820843488910697E-2</v>
      </c>
      <c r="G31" s="34">
        <f>+G30/G$5</f>
        <v>8.8979370249728559E-2</v>
      </c>
      <c r="H31" s="53"/>
      <c r="I31" s="18"/>
      <c r="J31" s="149" t="str">
        <f t="shared" si="0"/>
        <v>% Revenue</v>
      </c>
      <c r="K31" s="34">
        <f>+K30/K$5</f>
        <v>0.1</v>
      </c>
      <c r="L31" s="35">
        <f>+L30/L$5</f>
        <v>8.9690026954177896E-2</v>
      </c>
      <c r="M31" s="35">
        <f>+M30/M$5</f>
        <v>8.6532399545625027E-2</v>
      </c>
      <c r="N31" s="34">
        <f>+N30/N$5</f>
        <v>8.0714004551669924E-2</v>
      </c>
      <c r="O31" s="34">
        <f>+O30/O$5</f>
        <v>8.5447582481838785E-2</v>
      </c>
      <c r="P31" s="53"/>
      <c r="Q31" s="149" t="str">
        <f t="shared" si="1"/>
        <v>% Revenue</v>
      </c>
      <c r="R31" s="34">
        <f>+R30/R$5</f>
        <v>0.1</v>
      </c>
      <c r="S31" s="35">
        <f>+S30/S$5</f>
        <v>9.417735042735044E-2</v>
      </c>
      <c r="T31" s="35">
        <f>+T30/T$5</f>
        <v>9.2777739760155714E-2</v>
      </c>
      <c r="U31" s="34">
        <f>+U30/U$5</f>
        <v>9.1340206209925084E-2</v>
      </c>
      <c r="V31" s="34">
        <f>+V30/V$5</f>
        <v>9.272378173709564E-2</v>
      </c>
      <c r="W31" s="53"/>
    </row>
    <row r="32" spans="1:23" x14ac:dyDescent="0.2">
      <c r="A32" s="18"/>
      <c r="B32" s="144" t="str">
        <f>+Input!B28</f>
        <v>Labor Owner</v>
      </c>
      <c r="C32" s="50">
        <f>IF(Input!C$15=Input!B$81,Input!C$28,Input!D$28)</f>
        <v>10000</v>
      </c>
      <c r="D32" s="49">
        <f>IF((($C32+$C32*(D$5-$C$5)/$C$5*$C$63)*$D58/D62)&lt;=D$64,(($C32+$C32*(D$5-$C$5)/$C$5*$C$63)*$D58/D62),D$64)</f>
        <v>10303.398058252427</v>
      </c>
      <c r="E32" s="49">
        <f>IF((($C32+$C32*(E$5-$C$5)/$C$5*$C$63)*$D58*E58/D62/E62)&lt;=E$64,(($C32+$C32*(E$5-$C$5)/$C$5*$C$63)*$D58*$E58/D62/E62),E$64)</f>
        <v>10545.955882352941</v>
      </c>
      <c r="F32" s="50">
        <f>IF((($C32+$C32*(F$5-$C$5)/$C$5*$C$63)*$D58*E58*F58/D62/E62/F62)&lt;=F$64,(($C32+$C32*(F$5-$C$5)/$C$5*$C$63)*$D58*$E58*F58/D62/E62/F62),F$64)</f>
        <v>10729.81731352335</v>
      </c>
      <c r="G32" s="45">
        <f>AVERAGE(D32:F32)</f>
        <v>10526.390418042907</v>
      </c>
      <c r="H32" s="53"/>
      <c r="I32" s="18"/>
      <c r="J32" s="144" t="str">
        <f t="shared" si="0"/>
        <v>Labor Owner</v>
      </c>
      <c r="K32" s="212">
        <f>+C32</f>
        <v>10000</v>
      </c>
      <c r="L32" s="49">
        <f>IF((($C32+$C32*(L$5-$C$5)/$C$5*$C$63)*$D58/L62)&lt;=L$64,(($C32+$C32*(L$5-$C$5)/$C$5*$C$63)*$D58/L62),L$64)</f>
        <v>10398.4375</v>
      </c>
      <c r="M32" s="49">
        <f>IF((($C32+$C32*(M$5-$C$5)/$C$5*$C$63)*$D58*M58/L62/M62)&lt;=M$64,(($C32+$C32*(M$5-$C$5)/$C$5*$C$63)*$D58*$E58/L62/M62),M$64)</f>
        <v>10634.291076660156</v>
      </c>
      <c r="N32" s="50">
        <f>IF((($C32+$C32*(N$5-$C$5)/$C$5*$C$63)*$D58*M58*N58/L62/M62/N62)&lt;=N$64,(($C32+$C32*(N$5-$C$5)/$C$5*$C$63)*$D58*$E58*N58/L62/M62/N62),N$64)</f>
        <v>10660.103296638141</v>
      </c>
      <c r="O32" s="45">
        <f>AVERAGE(L32:N32)</f>
        <v>10564.277291099432</v>
      </c>
      <c r="P32" s="53"/>
      <c r="Q32" s="144" t="str">
        <f t="shared" si="1"/>
        <v>Labor Owner</v>
      </c>
      <c r="R32" s="212">
        <f>+C32</f>
        <v>10000</v>
      </c>
      <c r="S32" s="49">
        <f>IF((($C32+$C32*(S$5-$C$5)/$C$5*$C$63)*$D58/S62)&lt;=S$64,(($C32+$C32*(S$5-$C$5)/$C$5*$C$63)*$D58/S62),S$64)</f>
        <v>10210.42471042471</v>
      </c>
      <c r="T32" s="49">
        <f>IF((($C32+$C32*(T$5-$C$5)/$C$5*$C$63)*$D58*T58/S62/T62)&lt;=T$64,(($C32+$C32*(T$5-$C$5)/$C$5*$C$63)*$D58*$E58/S62/T62),T$64)</f>
        <v>10461.030462408416</v>
      </c>
      <c r="U32" s="50">
        <f>IF((($C32+$C32*(U$5-$C$5)/$C$5*$C$63)*$D58*T58*U58/S62/T62/U62)&lt;=U$64,(($C32+$C32*(U$5-$C$5)/$C$5*$C$63)*$D58*$E58*U58/S62/T62/U62),U$64)</f>
        <v>10805.448689115756</v>
      </c>
      <c r="V32" s="45">
        <f>AVERAGE(S32:U32)</f>
        <v>10492.301287316295</v>
      </c>
      <c r="W32" s="53"/>
    </row>
    <row r="33" spans="1:23" x14ac:dyDescent="0.2">
      <c r="A33" s="18"/>
      <c r="B33" s="33" t="s">
        <v>128</v>
      </c>
      <c r="C33" s="34">
        <f>+C32/C$5</f>
        <v>0.02</v>
      </c>
      <c r="D33" s="35">
        <f>+D32/D$5</f>
        <v>1.8376623376623376E-2</v>
      </c>
      <c r="E33" s="35">
        <f>+E32/E$5</f>
        <v>1.7913559363139191E-2</v>
      </c>
      <c r="F33" s="34">
        <f>+F32/F$5</f>
        <v>1.7164168697782142E-2</v>
      </c>
      <c r="G33" s="34">
        <f>+G32/G$5</f>
        <v>1.7795874049945714E-2</v>
      </c>
      <c r="H33" s="53"/>
      <c r="I33" s="18"/>
      <c r="J33" s="149" t="str">
        <f t="shared" si="0"/>
        <v>% Revenue</v>
      </c>
      <c r="K33" s="34">
        <f>+K32/K$5</f>
        <v>0.02</v>
      </c>
      <c r="L33" s="35">
        <f>+L32/L$5</f>
        <v>1.7938005390835579E-2</v>
      </c>
      <c r="M33" s="35">
        <f>+M32/M$5</f>
        <v>1.7306479909125008E-2</v>
      </c>
      <c r="N33" s="34">
        <f>+N32/N$5</f>
        <v>1.6142800910333981E-2</v>
      </c>
      <c r="O33" s="34">
        <f>+O32/O$5</f>
        <v>1.7089516496367755E-2</v>
      </c>
      <c r="P33" s="53"/>
      <c r="Q33" s="149" t="str">
        <f t="shared" si="1"/>
        <v>% Revenue</v>
      </c>
      <c r="R33" s="34">
        <f>+R32/R$5</f>
        <v>0.02</v>
      </c>
      <c r="S33" s="35">
        <f>+S32/S$5</f>
        <v>1.8835470085470086E-2</v>
      </c>
      <c r="T33" s="35">
        <f>+T32/T$5</f>
        <v>1.8555547952031147E-2</v>
      </c>
      <c r="U33" s="34">
        <f>+U32/U$5</f>
        <v>1.8268041241985021E-2</v>
      </c>
      <c r="V33" s="34">
        <f>+V32/V$5</f>
        <v>1.8544756347419131E-2</v>
      </c>
      <c r="W33" s="53"/>
    </row>
    <row r="34" spans="1:23" x14ac:dyDescent="0.2">
      <c r="A34" s="18"/>
      <c r="B34" s="144" t="str">
        <f>+Input!B29</f>
        <v>Interest Costs</v>
      </c>
      <c r="C34" s="50">
        <f>IF(Input!C$15=Input!B$81,Input!C$29,Input!D$29)</f>
        <v>0</v>
      </c>
      <c r="D34" s="49">
        <f>+$C34*D59</f>
        <v>0</v>
      </c>
      <c r="E34" s="49">
        <f>+$C34*D59*E59</f>
        <v>0</v>
      </c>
      <c r="F34" s="49">
        <f>+$C34*D59*E59*F59</f>
        <v>0</v>
      </c>
      <c r="G34" s="45">
        <f>AVERAGE(D34:F34)</f>
        <v>0</v>
      </c>
      <c r="H34" s="53"/>
      <c r="I34" s="18"/>
      <c r="J34" s="144" t="str">
        <f t="shared" si="0"/>
        <v>Interest Costs</v>
      </c>
      <c r="K34" s="212">
        <f>+C34</f>
        <v>0</v>
      </c>
      <c r="L34" s="49">
        <f>+$C34*L59</f>
        <v>0</v>
      </c>
      <c r="M34" s="49">
        <f>+$C34*L59*M59</f>
        <v>0</v>
      </c>
      <c r="N34" s="49">
        <f>+$C34*L59*M59*N59</f>
        <v>0</v>
      </c>
      <c r="O34" s="45">
        <f>AVERAGE(L34:N34)</f>
        <v>0</v>
      </c>
      <c r="P34" s="53"/>
      <c r="Q34" s="144" t="str">
        <f t="shared" si="1"/>
        <v>Interest Costs</v>
      </c>
      <c r="R34" s="212">
        <f>+C34</f>
        <v>0</v>
      </c>
      <c r="S34" s="49">
        <f>+$C34*S59</f>
        <v>0</v>
      </c>
      <c r="T34" s="49">
        <f>+$C34*S59*T59</f>
        <v>0</v>
      </c>
      <c r="U34" s="49">
        <f>+$C34*S59*T59*U59</f>
        <v>0</v>
      </c>
      <c r="V34" s="45">
        <f>AVERAGE(S34:U34)</f>
        <v>0</v>
      </c>
      <c r="W34" s="53"/>
    </row>
    <row r="35" spans="1:23" ht="12.75" customHeight="1" x14ac:dyDescent="0.2">
      <c r="A35" s="18"/>
      <c r="B35" s="33" t="s">
        <v>128</v>
      </c>
      <c r="C35" s="34">
        <f>+C34/C$5</f>
        <v>0</v>
      </c>
      <c r="D35" s="34">
        <f>+D34/D$5</f>
        <v>0</v>
      </c>
      <c r="E35" s="34">
        <f>+E34/E$5</f>
        <v>0</v>
      </c>
      <c r="F35" s="34">
        <f>+F34/F$5</f>
        <v>0</v>
      </c>
      <c r="G35" s="34">
        <f>+G34/G$5</f>
        <v>0</v>
      </c>
      <c r="H35" s="53"/>
      <c r="I35" s="18"/>
      <c r="J35" s="149" t="str">
        <f t="shared" si="0"/>
        <v>% Revenue</v>
      </c>
      <c r="K35" s="34">
        <f>+K34/K$5</f>
        <v>0</v>
      </c>
      <c r="L35" s="34">
        <f>+L34/L$5</f>
        <v>0</v>
      </c>
      <c r="M35" s="34">
        <f>+M34/M$5</f>
        <v>0</v>
      </c>
      <c r="N35" s="34">
        <f>+N34/N$5</f>
        <v>0</v>
      </c>
      <c r="O35" s="34">
        <f>+O34/O$5</f>
        <v>0</v>
      </c>
      <c r="P35" s="53"/>
      <c r="Q35" s="149" t="str">
        <f t="shared" si="1"/>
        <v>% Revenue</v>
      </c>
      <c r="R35" s="34">
        <f>+R34/R$5</f>
        <v>0</v>
      </c>
      <c r="S35" s="34">
        <f>+S34/S$5</f>
        <v>0</v>
      </c>
      <c r="T35" s="34">
        <f>+T34/T$5</f>
        <v>0</v>
      </c>
      <c r="U35" s="34">
        <f>+U34/U$5</f>
        <v>0</v>
      </c>
      <c r="V35" s="34">
        <f>+V34/V$5</f>
        <v>0</v>
      </c>
      <c r="W35" s="53"/>
    </row>
    <row r="36" spans="1:23" x14ac:dyDescent="0.2">
      <c r="A36" s="18"/>
      <c r="B36" s="144" t="str">
        <f>+Input!B30</f>
        <v>Other</v>
      </c>
      <c r="C36" s="50">
        <f>IF(Input!C$15=Input!B$81,Input!C$30,Input!D$30)</f>
        <v>0</v>
      </c>
      <c r="D36" s="49">
        <f>($C36+$C36*(D$5-$C$5)/$C$5*$C$63)/D62</f>
        <v>0</v>
      </c>
      <c r="E36" s="49">
        <f>($C36+$C36*(E$5-$C$5)/$C$5*$C$63)/D62/E62</f>
        <v>0</v>
      </c>
      <c r="F36" s="50">
        <f>($C36+$C36*(F$5-$C$5)/$C$5*$C$63)/D62/E62/F62</f>
        <v>0</v>
      </c>
      <c r="G36" s="45">
        <f>AVERAGE(D36:F36)</f>
        <v>0</v>
      </c>
      <c r="H36" s="53"/>
      <c r="I36" s="18"/>
      <c r="J36" s="144" t="str">
        <f t="shared" si="0"/>
        <v>Other</v>
      </c>
      <c r="K36" s="212">
        <f>+C36</f>
        <v>0</v>
      </c>
      <c r="L36" s="49">
        <f>($C36+$C36*(L$5-$C$5)/$C$5*$C$63)/L62</f>
        <v>0</v>
      </c>
      <c r="M36" s="49">
        <f>($C36+$C36*(M$5-$C$5)/$C$5*$C$63)/L62/M62</f>
        <v>0</v>
      </c>
      <c r="N36" s="50">
        <f>($C36+$C36*(N$5-$C$5)/$C$5*$C$63)/L62/M62/N62</f>
        <v>0</v>
      </c>
      <c r="O36" s="45">
        <f>AVERAGE(L36:N36)</f>
        <v>0</v>
      </c>
      <c r="P36" s="53"/>
      <c r="Q36" s="144" t="str">
        <f t="shared" si="1"/>
        <v>Other</v>
      </c>
      <c r="R36" s="212">
        <f>+C36</f>
        <v>0</v>
      </c>
      <c r="S36" s="49">
        <f>($C36+$C36*(S$5-$C$5)/$C$5*$C$63)/S62</f>
        <v>0</v>
      </c>
      <c r="T36" s="49">
        <f>($C36+$C36*(T$5-$C$5)/$C$5*$C$63)/S62/T62</f>
        <v>0</v>
      </c>
      <c r="U36" s="50">
        <f>($C36+$C36*(U$5-$C$5)/$C$5*$C$63)/S62/T62/U62</f>
        <v>0</v>
      </c>
      <c r="V36" s="45">
        <f>AVERAGE(S36:U36)</f>
        <v>0</v>
      </c>
      <c r="W36" s="53"/>
    </row>
    <row r="37" spans="1:23" x14ac:dyDescent="0.2">
      <c r="A37" s="18"/>
      <c r="B37" s="33" t="s">
        <v>128</v>
      </c>
      <c r="C37" s="34">
        <f>+C36/C$5</f>
        <v>0</v>
      </c>
      <c r="D37" s="35">
        <f>+D36/D$5</f>
        <v>0</v>
      </c>
      <c r="E37" s="35">
        <f>+E36/E$5</f>
        <v>0</v>
      </c>
      <c r="F37" s="34">
        <f>+F36/F$5</f>
        <v>0</v>
      </c>
      <c r="G37" s="34">
        <f>+G36/G$5</f>
        <v>0</v>
      </c>
      <c r="H37" s="53"/>
      <c r="I37" s="18"/>
      <c r="J37" s="149" t="str">
        <f t="shared" si="0"/>
        <v>% Revenue</v>
      </c>
      <c r="K37" s="34">
        <f>+K36/K$5</f>
        <v>0</v>
      </c>
      <c r="L37" s="35">
        <f>+L36/L$5</f>
        <v>0</v>
      </c>
      <c r="M37" s="35">
        <f>+M36/M$5</f>
        <v>0</v>
      </c>
      <c r="N37" s="34">
        <f>+N36/N$5</f>
        <v>0</v>
      </c>
      <c r="O37" s="34">
        <f>+O36/O$5</f>
        <v>0</v>
      </c>
      <c r="P37" s="53"/>
      <c r="Q37" s="149" t="str">
        <f t="shared" si="1"/>
        <v>% Revenue</v>
      </c>
      <c r="R37" s="34">
        <f>+R36/R$5</f>
        <v>0</v>
      </c>
      <c r="S37" s="35">
        <f>+S36/S$5</f>
        <v>0</v>
      </c>
      <c r="T37" s="35">
        <f>+T36/T$5</f>
        <v>0</v>
      </c>
      <c r="U37" s="34">
        <f>+U36/U$5</f>
        <v>0</v>
      </c>
      <c r="V37" s="34">
        <f>+V36/V$5</f>
        <v>0</v>
      </c>
      <c r="W37" s="53"/>
    </row>
    <row r="38" spans="1:23" x14ac:dyDescent="0.2">
      <c r="A38" s="18"/>
      <c r="B38" s="144" t="str">
        <f>+Input!B31</f>
        <v>Total Fixed Costs</v>
      </c>
      <c r="C38" s="51">
        <f>+C26+C28+C30+C32+C36+C34</f>
        <v>130000</v>
      </c>
      <c r="D38" s="51">
        <f>+D26+D28+D30+D32+D36+D34</f>
        <v>133944.17475728155</v>
      </c>
      <c r="E38" s="51">
        <f>+E26+E28+E30+E32+E36+E34</f>
        <v>135766.38349514565</v>
      </c>
      <c r="F38" s="51">
        <f>+F26+F28+F30+F32+F36+F34</f>
        <v>136645.19080828209</v>
      </c>
      <c r="G38" s="291">
        <f>AVERAGE(D38:F38)</f>
        <v>135451.91635356974</v>
      </c>
      <c r="H38" s="53"/>
      <c r="I38" s="18"/>
      <c r="J38" s="144" t="str">
        <f t="shared" si="0"/>
        <v>Total Fixed Costs</v>
      </c>
      <c r="K38" s="51">
        <f>+K26+K28+K30+K32+K36+K34</f>
        <v>130000</v>
      </c>
      <c r="L38" s="51">
        <f>+L26+L28+L30+L32+L36+L34</f>
        <v>135179.6875</v>
      </c>
      <c r="M38" s="51">
        <f>+M26+M28+M30+M32+M36+M34</f>
        <v>137068.78479003906</v>
      </c>
      <c r="N38" s="51">
        <f>+N26+N28+N30+N32+N36+N34</f>
        <v>137022.53163487557</v>
      </c>
      <c r="O38" s="45">
        <f>AVERAGE(L38:N38)</f>
        <v>136423.66797497155</v>
      </c>
      <c r="P38" s="53"/>
      <c r="Q38" s="144" t="str">
        <f t="shared" si="1"/>
        <v>Total Fixed Costs</v>
      </c>
      <c r="R38" s="51">
        <f>+R26+R28+R30+R32+R36+R34</f>
        <v>130000</v>
      </c>
      <c r="S38" s="51">
        <f>+S26+S28+S30+S32+S36+S34</f>
        <v>132735.52123552124</v>
      </c>
      <c r="T38" s="51">
        <f>+T26+T28+T30+T32+T36+T34</f>
        <v>134510.57033411364</v>
      </c>
      <c r="U38" s="51">
        <f>+U26+U28+U30+U32+U36+U34</f>
        <v>136353.32162619143</v>
      </c>
      <c r="V38" s="45">
        <f>AVERAGE(S38:U38)</f>
        <v>134533.13773194209</v>
      </c>
      <c r="W38" s="53"/>
    </row>
    <row r="39" spans="1:23" x14ac:dyDescent="0.2">
      <c r="A39" s="18"/>
      <c r="B39" s="33" t="s">
        <v>45</v>
      </c>
      <c r="C39" s="37">
        <f>IF(C38=0,0,+C38/C$5)</f>
        <v>0.26</v>
      </c>
      <c r="D39" s="37">
        <f>IF(D38=0,0,+D38/D$5)</f>
        <v>0.23889610389610388</v>
      </c>
      <c r="E39" s="37">
        <f>IF(E38=0,0,+E38/E$5)</f>
        <v>0.23061533704390849</v>
      </c>
      <c r="F39" s="37">
        <f>IF(F38=0,0,+F38/F$5)</f>
        <v>0.21858723576010486</v>
      </c>
      <c r="G39" s="37">
        <f>IF(G38=0,0,+G38/G$5)</f>
        <v>0.22899447460358141</v>
      </c>
      <c r="H39" s="53"/>
      <c r="I39" s="18"/>
      <c r="J39" s="149" t="str">
        <f t="shared" si="0"/>
        <v>Total Fixed Costs %</v>
      </c>
      <c r="K39" s="37">
        <f>IF(K38=0,0,+K38/K$5)</f>
        <v>0.26</v>
      </c>
      <c r="L39" s="37">
        <f>IF(L38=0,0,+L38/L$5)</f>
        <v>0.23319407008086254</v>
      </c>
      <c r="M39" s="37">
        <f>IF(M38=0,0,+M38/M$5)</f>
        <v>0.22306876434324621</v>
      </c>
      <c r="N39" s="37">
        <f>IF(N38=0,0,+N38/N$5)</f>
        <v>0.20749587380727427</v>
      </c>
      <c r="O39" s="37">
        <f>IF(O38=0,0,+O38/O$5)</f>
        <v>0.2206885014574094</v>
      </c>
      <c r="P39" s="53"/>
      <c r="Q39" s="149" t="str">
        <f t="shared" si="1"/>
        <v>Total Fixed Costs %</v>
      </c>
      <c r="R39" s="37">
        <f>IF(R38=0,0,+R38/R$5)</f>
        <v>0.26</v>
      </c>
      <c r="S39" s="37">
        <f>IF(S38=0,0,+S38/S$5)</f>
        <v>0.24486111111111117</v>
      </c>
      <c r="T39" s="37">
        <f>IF(T38=0,0,+T38/T$5)</f>
        <v>0.23859191949194219</v>
      </c>
      <c r="U39" s="37">
        <f>IF(U38=0,0,+U38/U$5)</f>
        <v>0.23052333823564269</v>
      </c>
      <c r="V39" s="37">
        <f>IF(V38=0,0,+V38/V$5)</f>
        <v>0.2377823693367066</v>
      </c>
      <c r="W39" s="53"/>
    </row>
    <row r="40" spans="1:23" x14ac:dyDescent="0.2">
      <c r="A40" s="18"/>
      <c r="B40" s="30"/>
      <c r="C40" s="34"/>
      <c r="D40" s="38"/>
      <c r="E40" s="38"/>
      <c r="F40" s="37"/>
      <c r="G40" s="63"/>
      <c r="H40" s="53"/>
      <c r="I40" s="18"/>
      <c r="J40" s="144"/>
      <c r="K40" s="34"/>
      <c r="L40" s="38"/>
      <c r="M40" s="38"/>
      <c r="N40" s="37"/>
      <c r="O40" s="63"/>
      <c r="P40" s="53"/>
      <c r="Q40" s="144"/>
      <c r="R40" s="34"/>
      <c r="S40" s="38"/>
      <c r="T40" s="38"/>
      <c r="U40" s="37"/>
      <c r="V40" s="63"/>
      <c r="W40" s="53"/>
    </row>
    <row r="41" spans="1:23" x14ac:dyDescent="0.2">
      <c r="A41" s="18"/>
      <c r="B41" s="17" t="s">
        <v>132</v>
      </c>
      <c r="C41" s="51">
        <f>+C20+C38</f>
        <v>440000</v>
      </c>
      <c r="D41" s="52">
        <f>+D20+D38</f>
        <v>471984.98916014691</v>
      </c>
      <c r="E41" s="52">
        <f>+E20+E38</f>
        <v>482544.00155528332</v>
      </c>
      <c r="F41" s="51">
        <f>+F20+F38</f>
        <v>519756.99142884079</v>
      </c>
      <c r="G41" s="291">
        <f>AVERAGE(D41:F41)</f>
        <v>491428.66071475699</v>
      </c>
      <c r="H41" s="53"/>
      <c r="I41" s="18"/>
      <c r="J41" s="150" t="str">
        <f t="shared" si="0"/>
        <v>Total Expenses</v>
      </c>
      <c r="K41" s="51">
        <f>+K20+K38</f>
        <v>440000</v>
      </c>
      <c r="L41" s="52">
        <f>+L20+L38</f>
        <v>482656.4611486487</v>
      </c>
      <c r="M41" s="52">
        <f>+M20+M38</f>
        <v>491847.6065805796</v>
      </c>
      <c r="N41" s="51">
        <f>+N20+N38</f>
        <v>530614.70940977172</v>
      </c>
      <c r="O41" s="45">
        <f>AVERAGE(L41:N41)</f>
        <v>501706.25904633338</v>
      </c>
      <c r="P41" s="53"/>
      <c r="Q41" s="150" t="str">
        <f t="shared" si="1"/>
        <v>Total Expenses</v>
      </c>
      <c r="R41" s="51">
        <f>+R20+R38</f>
        <v>440000</v>
      </c>
      <c r="S41" s="52">
        <f>+S20+S38</f>
        <v>461480.39333976834</v>
      </c>
      <c r="T41" s="52">
        <f>+T20+T38</f>
        <v>473340.12812851521</v>
      </c>
      <c r="U41" s="51">
        <f>+U20+U38</f>
        <v>509108.92324654723</v>
      </c>
      <c r="V41" s="45">
        <f>AVERAGE(S41:U41)</f>
        <v>481309.81490494357</v>
      </c>
      <c r="W41" s="53"/>
    </row>
    <row r="42" spans="1:23" x14ac:dyDescent="0.2">
      <c r="A42" s="18"/>
      <c r="B42" s="40"/>
      <c r="C42" s="32"/>
      <c r="D42" s="31"/>
      <c r="E42" s="31"/>
      <c r="F42" s="32"/>
      <c r="G42" s="63"/>
      <c r="H42" s="53"/>
      <c r="I42" s="18"/>
      <c r="J42" s="144"/>
      <c r="K42" s="32"/>
      <c r="L42" s="31"/>
      <c r="M42" s="31"/>
      <c r="N42" s="32"/>
      <c r="O42" s="63"/>
      <c r="P42" s="53"/>
      <c r="Q42" s="144"/>
      <c r="R42" s="32"/>
      <c r="S42" s="31"/>
      <c r="T42" s="31"/>
      <c r="U42" s="32"/>
      <c r="V42" s="63"/>
      <c r="W42" s="53"/>
    </row>
    <row r="43" spans="1:23" x14ac:dyDescent="0.2">
      <c r="A43" s="18"/>
      <c r="B43" s="146" t="str">
        <f>+Input!B32</f>
        <v>Operating Surplus</v>
      </c>
      <c r="C43" s="51">
        <f>+C5-C41</f>
        <v>60000</v>
      </c>
      <c r="D43" s="52">
        <f>+D5-D41</f>
        <v>88694.622490338515</v>
      </c>
      <c r="E43" s="52">
        <f>+E5-E41</f>
        <v>106169.59067772643</v>
      </c>
      <c r="F43" s="51">
        <f>+F5-F41</f>
        <v>105371.87455054082</v>
      </c>
      <c r="G43" s="291">
        <f>AVERAGE(D43:F43)</f>
        <v>100078.69590620192</v>
      </c>
      <c r="H43" s="53"/>
      <c r="I43" s="18"/>
      <c r="J43" s="150" t="str">
        <f t="shared" si="0"/>
        <v>Operating Surplus</v>
      </c>
      <c r="K43" s="51">
        <f>+K5-K41</f>
        <v>60000</v>
      </c>
      <c r="L43" s="52">
        <f>+L5-L41</f>
        <v>97031.038851351303</v>
      </c>
      <c r="M43" s="52">
        <f>+M5-M41</f>
        <v>122621.1434194204</v>
      </c>
      <c r="N43" s="51">
        <f>+N5-N41</f>
        <v>129747.972125498</v>
      </c>
      <c r="O43" s="45">
        <f>AVERAGE(L43:N43)</f>
        <v>116466.7181320899</v>
      </c>
      <c r="P43" s="53"/>
      <c r="Q43" s="150" t="str">
        <f t="shared" si="1"/>
        <v>Operating Surplus</v>
      </c>
      <c r="R43" s="51">
        <f>+R5-R41</f>
        <v>60000</v>
      </c>
      <c r="S43" s="52">
        <f>+S5-S41</f>
        <v>80604.54874517367</v>
      </c>
      <c r="T43" s="52">
        <f>+T5-T41</f>
        <v>90428.211639824556</v>
      </c>
      <c r="U43" s="51">
        <f>+U5-U41</f>
        <v>82385.728313678061</v>
      </c>
      <c r="V43" s="45">
        <f>AVERAGE(S43:U43)</f>
        <v>84472.829566225424</v>
      </c>
      <c r="W43" s="53"/>
    </row>
    <row r="44" spans="1:23" ht="12.75" customHeight="1" x14ac:dyDescent="0.2">
      <c r="A44" s="18"/>
      <c r="B44" s="33" t="s">
        <v>153</v>
      </c>
      <c r="C44" s="37">
        <f>IF(C43=0,0,+C43/C$5)</f>
        <v>0.12</v>
      </c>
      <c r="D44" s="37">
        <f>IF(D43=0,0,+D43/D$5)</f>
        <v>0.15819127474467304</v>
      </c>
      <c r="E44" s="37">
        <f>IF(E43=0,0,+E43/E$5)</f>
        <v>0.18034166711697913</v>
      </c>
      <c r="F44" s="37">
        <f>IF(F43=0,0,+F43/F$5)</f>
        <v>0.16856024459125882</v>
      </c>
      <c r="G44" s="37">
        <f>IF(G43=0,0,+G43/G$5)</f>
        <v>0.16919264787831351</v>
      </c>
      <c r="H44" s="53"/>
      <c r="I44" s="18"/>
      <c r="J44" s="149" t="str">
        <f t="shared" si="0"/>
        <v>Operating Surplus %</v>
      </c>
      <c r="K44" s="37">
        <f>IF(K43=0,0,+K43/K$5)</f>
        <v>0.12</v>
      </c>
      <c r="L44" s="37">
        <f>IF(L43=0,0,+L43/L$5)</f>
        <v>0.16738508049828796</v>
      </c>
      <c r="M44" s="37">
        <f>IF(M43=0,0,+M43/M$5)</f>
        <v>0.19955635403658917</v>
      </c>
      <c r="N44" s="37">
        <f>IF(N43=0,0,+N43/N$5)</f>
        <v>0.19647986743261808</v>
      </c>
      <c r="O44" s="37">
        <f>IF(O43=0,0,+O43/O$5)</f>
        <v>0.1884047385307723</v>
      </c>
      <c r="P44" s="53"/>
      <c r="Q44" s="149" t="str">
        <f t="shared" si="1"/>
        <v>Operating Surplus %</v>
      </c>
      <c r="R44" s="37">
        <f>IF(R43=0,0,+R43/R$5)</f>
        <v>0.12</v>
      </c>
      <c r="S44" s="37">
        <f>IF(S43=0,0,+S43/S$5)</f>
        <v>0.14869357638888878</v>
      </c>
      <c r="T44" s="37">
        <f>IF(T43=0,0,+T43/T$5)</f>
        <v>0.16039959192632697</v>
      </c>
      <c r="U44" s="37">
        <f>IF(U43=0,0,+U43/U$5)</f>
        <v>0.13928397847108789</v>
      </c>
      <c r="V44" s="37">
        <f>IF(V43=0,0,+V43/V$5)</f>
        <v>0.14930261716525656</v>
      </c>
      <c r="W44" s="53"/>
    </row>
    <row r="45" spans="1:23" ht="12.75" customHeight="1" x14ac:dyDescent="0.2">
      <c r="A45" s="18"/>
      <c r="B45" s="33"/>
      <c r="C45" s="37"/>
      <c r="D45" s="37"/>
      <c r="E45" s="37"/>
      <c r="F45" s="37"/>
      <c r="G45" s="37"/>
      <c r="H45" s="53"/>
      <c r="I45" s="18"/>
      <c r="J45" s="149"/>
      <c r="K45" s="37"/>
      <c r="L45" s="37"/>
      <c r="M45" s="37"/>
      <c r="N45" s="37"/>
      <c r="O45" s="37"/>
      <c r="P45" s="53"/>
      <c r="Q45" s="149"/>
      <c r="R45" s="37"/>
      <c r="S45" s="37"/>
      <c r="T45" s="37"/>
      <c r="U45" s="37"/>
      <c r="V45" s="37"/>
      <c r="W45" s="53"/>
    </row>
    <row r="46" spans="1:23" ht="12.75" customHeight="1" x14ac:dyDescent="0.2">
      <c r="A46" s="18"/>
      <c r="B46" s="269" t="str">
        <f>+B88</f>
        <v>LESS</v>
      </c>
      <c r="C46" s="37"/>
      <c r="D46" s="37"/>
      <c r="E46" s="37"/>
      <c r="F46" s="37"/>
      <c r="G46" s="37"/>
      <c r="H46" s="53"/>
      <c r="I46" s="18"/>
      <c r="J46" s="298" t="str">
        <f t="shared" si="0"/>
        <v>LESS</v>
      </c>
      <c r="K46" s="37"/>
      <c r="L46" s="37"/>
      <c r="M46" s="37"/>
      <c r="N46" s="37"/>
      <c r="O46" s="37"/>
      <c r="P46" s="53"/>
      <c r="Q46" s="298" t="str">
        <f t="shared" si="1"/>
        <v>LESS</v>
      </c>
      <c r="R46" s="37"/>
      <c r="S46" s="37"/>
      <c r="T46" s="37"/>
      <c r="U46" s="37"/>
      <c r="V46" s="37"/>
      <c r="W46" s="53"/>
    </row>
    <row r="47" spans="1:23" ht="12.75" customHeight="1" x14ac:dyDescent="0.2">
      <c r="A47" s="18"/>
      <c r="B47" s="282" t="str">
        <f>+B89</f>
        <v>Depreciation Allowance</v>
      </c>
      <c r="C47" s="286">
        <f>+C89</f>
        <v>12500</v>
      </c>
      <c r="D47" s="286">
        <f>+D89</f>
        <v>12879.247572815533</v>
      </c>
      <c r="E47" s="286">
        <f>+E89</f>
        <v>13054.459951456311</v>
      </c>
      <c r="F47" s="286">
        <f>+F89</f>
        <v>13282.055412371135</v>
      </c>
      <c r="G47" s="284">
        <f>+G89</f>
        <v>13071.920978880991</v>
      </c>
      <c r="H47" s="53"/>
      <c r="I47" s="18"/>
      <c r="J47" s="150" t="str">
        <f t="shared" si="0"/>
        <v>Depreciation Allowance</v>
      </c>
      <c r="K47" s="286">
        <f>+K89</f>
        <v>12500</v>
      </c>
      <c r="L47" s="286">
        <f>+L89</f>
        <v>12998.046875</v>
      </c>
      <c r="M47" s="286">
        <f>+M89</f>
        <v>13215.4296875</v>
      </c>
      <c r="N47" s="286">
        <f>+N89</f>
        <v>13502.266759595435</v>
      </c>
      <c r="O47" s="284">
        <f>+O89</f>
        <v>13238.581107365144</v>
      </c>
      <c r="P47" s="53"/>
      <c r="Q47" s="150" t="str">
        <f t="shared" si="1"/>
        <v>Depreciation Allowance</v>
      </c>
      <c r="R47" s="286">
        <f>+R89</f>
        <v>12500</v>
      </c>
      <c r="S47" s="286">
        <f>+S89</f>
        <v>12763.030888030888</v>
      </c>
      <c r="T47" s="286">
        <f>+T89</f>
        <v>12898.552123552123</v>
      </c>
      <c r="U47" s="286">
        <f>+U89</f>
        <v>13071.841572251407</v>
      </c>
      <c r="V47" s="284">
        <f>+V89</f>
        <v>12911.141527944807</v>
      </c>
      <c r="W47" s="53"/>
    </row>
    <row r="48" spans="1:23" ht="12.75" customHeight="1" x14ac:dyDescent="0.2">
      <c r="A48" s="18"/>
      <c r="B48" s="282"/>
      <c r="C48" s="285"/>
      <c r="D48" s="285"/>
      <c r="E48" s="285"/>
      <c r="F48" s="285"/>
      <c r="G48" s="284"/>
      <c r="H48" s="53"/>
      <c r="I48" s="18"/>
      <c r="J48" s="149"/>
      <c r="K48" s="285"/>
      <c r="L48" s="285"/>
      <c r="M48" s="285"/>
      <c r="N48" s="285"/>
      <c r="O48" s="284"/>
      <c r="P48" s="53"/>
      <c r="Q48" s="149"/>
      <c r="R48" s="285"/>
      <c r="S48" s="285"/>
      <c r="T48" s="285"/>
      <c r="U48" s="285"/>
      <c r="V48" s="284"/>
      <c r="W48" s="53"/>
    </row>
    <row r="49" spans="1:23" x14ac:dyDescent="0.2">
      <c r="A49" s="18"/>
      <c r="B49" s="41" t="str">
        <f t="shared" ref="B49:G49" si="2">+B90</f>
        <v>Business Return</v>
      </c>
      <c r="C49" s="289">
        <f t="shared" si="2"/>
        <v>47500</v>
      </c>
      <c r="D49" s="289">
        <f t="shared" si="2"/>
        <v>75815.374917522975</v>
      </c>
      <c r="E49" s="289">
        <f t="shared" si="2"/>
        <v>93115.130726270116</v>
      </c>
      <c r="F49" s="289">
        <f t="shared" si="2"/>
        <v>92089.819138169682</v>
      </c>
      <c r="G49" s="290">
        <f t="shared" si="2"/>
        <v>87006.774927320934</v>
      </c>
      <c r="H49" s="59"/>
      <c r="I49" s="18"/>
      <c r="J49" s="150" t="str">
        <f t="shared" si="0"/>
        <v>Business Return</v>
      </c>
      <c r="K49" s="289">
        <f t="shared" ref="K49:O50" si="3">+K90</f>
        <v>47500</v>
      </c>
      <c r="L49" s="289">
        <f t="shared" si="3"/>
        <v>84032.991976351303</v>
      </c>
      <c r="M49" s="289">
        <f t="shared" si="3"/>
        <v>109405.7137319204</v>
      </c>
      <c r="N49" s="289">
        <f t="shared" si="3"/>
        <v>116245.70536590256</v>
      </c>
      <c r="O49" s="290">
        <f t="shared" si="3"/>
        <v>103228.13702472475</v>
      </c>
      <c r="P49" s="59"/>
      <c r="Q49" s="150" t="str">
        <f t="shared" si="1"/>
        <v>Business Return</v>
      </c>
      <c r="R49" s="289">
        <f t="shared" ref="R49:V50" si="4">+R90</f>
        <v>47500</v>
      </c>
      <c r="S49" s="289">
        <f t="shared" si="4"/>
        <v>67841.517857142782</v>
      </c>
      <c r="T49" s="289">
        <f t="shared" si="4"/>
        <v>77529.659516272426</v>
      </c>
      <c r="U49" s="289">
        <f t="shared" si="4"/>
        <v>69313.886741426657</v>
      </c>
      <c r="V49" s="290">
        <f t="shared" si="4"/>
        <v>71561.688038280627</v>
      </c>
      <c r="W49" s="59"/>
    </row>
    <row r="50" spans="1:23" x14ac:dyDescent="0.2">
      <c r="A50" s="18"/>
      <c r="B50" s="33" t="s">
        <v>75</v>
      </c>
      <c r="C50" s="296">
        <f>+C91</f>
        <v>9.5000000000000001E-2</v>
      </c>
      <c r="D50" s="296">
        <f>+D91</f>
        <v>0.13522049552389379</v>
      </c>
      <c r="E50" s="296">
        <f>+E91</f>
        <v>0.15816711547814177</v>
      </c>
      <c r="F50" s="296">
        <f>+F91</f>
        <v>0.14731333673720812</v>
      </c>
      <c r="G50" s="297">
        <f>+G91</f>
        <v>0.14709330991985506</v>
      </c>
      <c r="H50" s="59"/>
      <c r="I50" s="18"/>
      <c r="J50" s="149" t="str">
        <f t="shared" si="0"/>
        <v>Business Return %</v>
      </c>
      <c r="K50" s="296">
        <f t="shared" si="3"/>
        <v>9.5000000000000001E-2</v>
      </c>
      <c r="L50" s="296">
        <f t="shared" si="3"/>
        <v>0.14496257375974347</v>
      </c>
      <c r="M50" s="296">
        <f t="shared" si="3"/>
        <v>0.17804927220777364</v>
      </c>
      <c r="N50" s="296">
        <f t="shared" si="3"/>
        <v>0.17603312333707929</v>
      </c>
      <c r="O50" s="297">
        <f t="shared" si="3"/>
        <v>0.16698908046077535</v>
      </c>
      <c r="P50" s="59"/>
      <c r="Q50" s="149" t="str">
        <f t="shared" si="1"/>
        <v>Business Return %</v>
      </c>
      <c r="R50" s="296">
        <f t="shared" si="4"/>
        <v>9.5000000000000001E-2</v>
      </c>
      <c r="S50" s="296">
        <f t="shared" si="4"/>
        <v>0.12514923878205117</v>
      </c>
      <c r="T50" s="296">
        <f t="shared" si="4"/>
        <v>0.13752042115052157</v>
      </c>
      <c r="U50" s="296">
        <f t="shared" si="4"/>
        <v>0.1171843000753984</v>
      </c>
      <c r="V50" s="297">
        <f t="shared" si="4"/>
        <v>0.12648264971996193</v>
      </c>
      <c r="W50" s="59"/>
    </row>
    <row r="51" spans="1:23" x14ac:dyDescent="0.2">
      <c r="A51" s="18"/>
      <c r="B51" s="287"/>
      <c r="C51" s="38"/>
      <c r="D51" s="37"/>
      <c r="E51" s="37"/>
      <c r="F51" s="37"/>
      <c r="G51" s="288"/>
      <c r="H51" s="59"/>
      <c r="I51" s="18"/>
      <c r="J51" s="287"/>
      <c r="K51" s="38"/>
      <c r="L51" s="37"/>
      <c r="M51" s="37"/>
      <c r="N51" s="37"/>
      <c r="O51" s="288"/>
      <c r="P51" s="59"/>
      <c r="Q51" s="287"/>
      <c r="R51" s="38"/>
      <c r="S51" s="37"/>
      <c r="T51" s="37"/>
      <c r="U51" s="37"/>
      <c r="V51" s="288"/>
      <c r="W51" s="59"/>
    </row>
    <row r="52" spans="1:23" x14ac:dyDescent="0.2">
      <c r="A52" s="18"/>
      <c r="B52" s="586"/>
      <c r="C52" s="587"/>
      <c r="D52" s="587"/>
      <c r="E52" s="587"/>
      <c r="F52" s="587"/>
      <c r="G52" s="151"/>
      <c r="H52" s="152"/>
      <c r="I52" s="153"/>
      <c r="J52" s="586"/>
      <c r="K52" s="587"/>
      <c r="L52" s="587"/>
      <c r="M52" s="587"/>
      <c r="N52" s="587"/>
      <c r="O52" s="151"/>
      <c r="P52" s="152"/>
      <c r="Q52" s="586"/>
      <c r="R52" s="587"/>
      <c r="S52" s="587"/>
      <c r="T52" s="587"/>
      <c r="U52" s="587"/>
      <c r="V52" s="151"/>
      <c r="W52" s="53"/>
    </row>
    <row r="53" spans="1:23" x14ac:dyDescent="0.2">
      <c r="A53" s="18"/>
      <c r="B53" s="588" t="s">
        <v>133</v>
      </c>
      <c r="C53" s="589"/>
      <c r="D53" s="589"/>
      <c r="E53" s="589"/>
      <c r="F53" s="154"/>
      <c r="G53" s="155"/>
      <c r="H53" s="152"/>
      <c r="I53" s="153"/>
      <c r="J53" s="588" t="s">
        <v>133</v>
      </c>
      <c r="K53" s="589"/>
      <c r="L53" s="589"/>
      <c r="M53" s="589"/>
      <c r="N53" s="154"/>
      <c r="O53" s="155"/>
      <c r="P53" s="152"/>
      <c r="Q53" s="588" t="s">
        <v>133</v>
      </c>
      <c r="R53" s="589"/>
      <c r="S53" s="589"/>
      <c r="T53" s="589"/>
      <c r="U53" s="154"/>
      <c r="V53" s="155"/>
      <c r="W53" s="53"/>
    </row>
    <row r="54" spans="1:23" x14ac:dyDescent="0.2">
      <c r="A54" s="18"/>
      <c r="B54" s="156" t="str">
        <f>+Input!B38</f>
        <v>Relative Indicator</v>
      </c>
      <c r="C54" s="157" t="s">
        <v>135</v>
      </c>
      <c r="D54" s="158" t="s">
        <v>136</v>
      </c>
      <c r="E54" s="158" t="s">
        <v>137</v>
      </c>
      <c r="F54" s="158" t="s">
        <v>138</v>
      </c>
      <c r="G54" s="152"/>
      <c r="H54" s="152"/>
      <c r="I54" s="153"/>
      <c r="J54" s="156" t="str">
        <f>+$B54</f>
        <v>Relative Indicator</v>
      </c>
      <c r="K54" s="157" t="s">
        <v>135</v>
      </c>
      <c r="L54" s="158" t="s">
        <v>136</v>
      </c>
      <c r="M54" s="158" t="s">
        <v>137</v>
      </c>
      <c r="N54" s="158" t="s">
        <v>138</v>
      </c>
      <c r="O54" s="152"/>
      <c r="P54" s="152"/>
      <c r="Q54" s="156" t="str">
        <f>+$B54</f>
        <v>Relative Indicator</v>
      </c>
      <c r="R54" s="157" t="s">
        <v>135</v>
      </c>
      <c r="S54" s="158" t="s">
        <v>136</v>
      </c>
      <c r="T54" s="158" t="s">
        <v>137</v>
      </c>
      <c r="U54" s="158" t="s">
        <v>138</v>
      </c>
      <c r="V54" s="152"/>
      <c r="W54" s="53"/>
    </row>
    <row r="55" spans="1:23" x14ac:dyDescent="0.2">
      <c r="A55" s="18"/>
      <c r="B55" s="159" t="str">
        <f>+Input!B39</f>
        <v>Level of Competition</v>
      </c>
      <c r="C55" s="160">
        <v>1</v>
      </c>
      <c r="D55" s="258">
        <f>+Input!C39</f>
        <v>1.03</v>
      </c>
      <c r="E55" s="259">
        <f>+Input!D39</f>
        <v>1</v>
      </c>
      <c r="F55" s="259">
        <f>+Input!E39</f>
        <v>0.97</v>
      </c>
      <c r="G55" s="152"/>
      <c r="H55" s="152"/>
      <c r="I55" s="153"/>
      <c r="J55" s="159" t="str">
        <f>+$B55</f>
        <v>Level of Competition</v>
      </c>
      <c r="K55" s="160">
        <v>1</v>
      </c>
      <c r="L55" s="258">
        <f>D55-(ABS(1-D55)*$K$2)</f>
        <v>1.024</v>
      </c>
      <c r="M55" s="258">
        <f>E55-(ABS(1-E55)*$K$2)</f>
        <v>1</v>
      </c>
      <c r="N55" s="258">
        <f>F55-(ABS(1-F55)*$K$2)</f>
        <v>0.96399999999999997</v>
      </c>
      <c r="O55" s="152"/>
      <c r="P55" s="152"/>
      <c r="Q55" s="159" t="str">
        <f>+$B55</f>
        <v>Level of Competition</v>
      </c>
      <c r="R55" s="160">
        <v>1</v>
      </c>
      <c r="S55" s="258">
        <f>D55+(ABS(1-D55)*$R$2)</f>
        <v>1.036</v>
      </c>
      <c r="T55" s="258">
        <f>E55+(ABS(1-E55)*$R$2)</f>
        <v>1</v>
      </c>
      <c r="U55" s="258">
        <f>F55+(ABS(1-F55)*$R$2)</f>
        <v>0.97599999999999998</v>
      </c>
      <c r="V55" s="152"/>
      <c r="W55" s="53"/>
    </row>
    <row r="56" spans="1:23" x14ac:dyDescent="0.2">
      <c r="A56" s="18"/>
      <c r="B56" s="159" t="str">
        <f>+Input!B40</f>
        <v>Market Strength</v>
      </c>
      <c r="C56" s="161">
        <v>1</v>
      </c>
      <c r="D56" s="260">
        <f>+Input!C40</f>
        <v>1.05</v>
      </c>
      <c r="E56" s="162">
        <f>+Input!D40</f>
        <v>1</v>
      </c>
      <c r="F56" s="162">
        <f>+Input!E40</f>
        <v>1</v>
      </c>
      <c r="G56" s="152"/>
      <c r="H56" s="152"/>
      <c r="I56" s="153"/>
      <c r="J56" s="159" t="str">
        <f t="shared" ref="J56:J63" si="5">+$B56</f>
        <v>Market Strength</v>
      </c>
      <c r="K56" s="161">
        <v>1</v>
      </c>
      <c r="L56" s="260">
        <f>D56+(ABS(1-D56)*$K$2)</f>
        <v>1.06</v>
      </c>
      <c r="M56" s="260">
        <f>E56+(ABS(1-E56)*$K$2)</f>
        <v>1</v>
      </c>
      <c r="N56" s="260">
        <f>F56+(ABS(1-F56)*$K$2)</f>
        <v>1</v>
      </c>
      <c r="O56" s="152"/>
      <c r="P56" s="152"/>
      <c r="Q56" s="159" t="str">
        <f t="shared" ref="Q56:Q63" si="6">+$B56</f>
        <v>Market Strength</v>
      </c>
      <c r="R56" s="161">
        <v>1</v>
      </c>
      <c r="S56" s="260">
        <f>D56-(ABS(1-D56)*$R$2)</f>
        <v>1.04</v>
      </c>
      <c r="T56" s="260">
        <f>E56-(ABS(1-E56)*$R$2)</f>
        <v>1</v>
      </c>
      <c r="U56" s="260">
        <f>F56-(ABS(1-F56)*$R$2)</f>
        <v>1</v>
      </c>
      <c r="V56" s="152"/>
      <c r="W56" s="53"/>
    </row>
    <row r="57" spans="1:23" ht="12.75" customHeight="1" x14ac:dyDescent="0.2">
      <c r="A57" s="18"/>
      <c r="B57" s="159" t="str">
        <f>+Input!B41</f>
        <v>Materials &amp; Supplies Costs</v>
      </c>
      <c r="C57" s="161">
        <v>1</v>
      </c>
      <c r="D57" s="260">
        <f>+Input!C41</f>
        <v>1.05</v>
      </c>
      <c r="E57" s="162">
        <f>+Input!D41</f>
        <v>1.05</v>
      </c>
      <c r="F57" s="162">
        <f>+Input!E41</f>
        <v>1</v>
      </c>
      <c r="G57" s="152"/>
      <c r="H57" s="152"/>
      <c r="I57" s="153"/>
      <c r="J57" s="159" t="str">
        <f t="shared" si="5"/>
        <v>Materials &amp; Supplies Costs</v>
      </c>
      <c r="K57" s="161">
        <v>1</v>
      </c>
      <c r="L57" s="260">
        <f>D57-(ABS(1-D57)*$K$2)</f>
        <v>1.04</v>
      </c>
      <c r="M57" s="260">
        <f t="shared" ref="M57:N59" si="7">E57-(ABS(1-E57)*$K$2)</f>
        <v>1.04</v>
      </c>
      <c r="N57" s="260">
        <f t="shared" si="7"/>
        <v>1</v>
      </c>
      <c r="O57" s="152"/>
      <c r="P57" s="152"/>
      <c r="Q57" s="210" t="str">
        <f t="shared" si="6"/>
        <v>Materials &amp; Supplies Costs</v>
      </c>
      <c r="R57" s="211">
        <v>1</v>
      </c>
      <c r="S57" s="260">
        <f>D57+(ABS(1-D57)*$R$2)</f>
        <v>1.06</v>
      </c>
      <c r="T57" s="260">
        <f t="shared" ref="T57:U59" si="8">E57+(ABS(1-E57)*$R$2)</f>
        <v>1.06</v>
      </c>
      <c r="U57" s="260">
        <f t="shared" si="8"/>
        <v>1</v>
      </c>
      <c r="V57" s="152"/>
      <c r="W57" s="53"/>
    </row>
    <row r="58" spans="1:23" ht="12.75" customHeight="1" x14ac:dyDescent="0.2">
      <c r="A58" s="18"/>
      <c r="B58" s="159" t="str">
        <f>+Input!B42</f>
        <v>Labor Costs</v>
      </c>
      <c r="C58" s="161">
        <v>1</v>
      </c>
      <c r="D58" s="260">
        <f>+Input!C42</f>
        <v>1</v>
      </c>
      <c r="E58" s="162">
        <f>+Input!D42</f>
        <v>1.03</v>
      </c>
      <c r="F58" s="162">
        <f>+Input!E42</f>
        <v>1.05</v>
      </c>
      <c r="G58" s="152"/>
      <c r="H58" s="152"/>
      <c r="I58" s="153"/>
      <c r="J58" s="159" t="str">
        <f t="shared" si="5"/>
        <v>Labor Costs</v>
      </c>
      <c r="K58" s="161">
        <v>1</v>
      </c>
      <c r="L58" s="260">
        <f>D58-(ABS(1-D58)*$K$2)</f>
        <v>1</v>
      </c>
      <c r="M58" s="260">
        <f t="shared" si="7"/>
        <v>1.024</v>
      </c>
      <c r="N58" s="260">
        <f t="shared" si="7"/>
        <v>1.04</v>
      </c>
      <c r="O58" s="152"/>
      <c r="P58" s="152"/>
      <c r="Q58" s="159" t="str">
        <f t="shared" si="6"/>
        <v>Labor Costs</v>
      </c>
      <c r="R58" s="161">
        <v>1</v>
      </c>
      <c r="S58" s="260">
        <f>D58+(ABS(1-D58)*$R$2)</f>
        <v>1</v>
      </c>
      <c r="T58" s="260">
        <f t="shared" si="8"/>
        <v>1.036</v>
      </c>
      <c r="U58" s="260">
        <f t="shared" si="8"/>
        <v>1.06</v>
      </c>
      <c r="V58" s="152"/>
      <c r="W58" s="53"/>
    </row>
    <row r="59" spans="1:23" ht="12.75" customHeight="1" x14ac:dyDescent="0.2">
      <c r="A59" s="18"/>
      <c r="B59" s="159" t="str">
        <f>+Input!B43</f>
        <v>Interest Rates</v>
      </c>
      <c r="C59" s="162">
        <v>1</v>
      </c>
      <c r="D59" s="260">
        <f>+Input!C43</f>
        <v>1</v>
      </c>
      <c r="E59" s="260">
        <f>+Input!D43</f>
        <v>1.05</v>
      </c>
      <c r="F59" s="260">
        <f>+Input!E43</f>
        <v>0.95</v>
      </c>
      <c r="G59" s="153"/>
      <c r="H59" s="152"/>
      <c r="I59" s="153"/>
      <c r="J59" s="159" t="str">
        <f t="shared" si="5"/>
        <v>Interest Rates</v>
      </c>
      <c r="K59" s="162">
        <v>1</v>
      </c>
      <c r="L59" s="260">
        <f>D59-(ABS(1-D59)*$K$2)</f>
        <v>1</v>
      </c>
      <c r="M59" s="260">
        <f t="shared" si="7"/>
        <v>1.04</v>
      </c>
      <c r="N59" s="260">
        <f t="shared" si="7"/>
        <v>0.94</v>
      </c>
      <c r="O59" s="153"/>
      <c r="P59" s="152"/>
      <c r="Q59" s="159" t="str">
        <f t="shared" si="6"/>
        <v>Interest Rates</v>
      </c>
      <c r="R59" s="162">
        <v>1</v>
      </c>
      <c r="S59" s="260">
        <f>D59+(ABS(1-D59)*$R$2)</f>
        <v>1</v>
      </c>
      <c r="T59" s="260">
        <f t="shared" si="8"/>
        <v>1.06</v>
      </c>
      <c r="U59" s="260">
        <f t="shared" si="8"/>
        <v>0.96</v>
      </c>
      <c r="V59" s="153"/>
      <c r="W59" s="53"/>
    </row>
    <row r="60" spans="1:23" ht="12.75" customHeight="1" x14ac:dyDescent="0.2">
      <c r="A60" s="18"/>
      <c r="B60" s="159" t="str">
        <f>+Input!B44</f>
        <v>Business Market Position</v>
      </c>
      <c r="C60" s="161">
        <v>1</v>
      </c>
      <c r="D60" s="260">
        <f>+Input!C44</f>
        <v>1.1000000000000001</v>
      </c>
      <c r="E60" s="162">
        <f>+Input!D44</f>
        <v>1.05</v>
      </c>
      <c r="F60" s="162">
        <f>+Input!E44</f>
        <v>1.03</v>
      </c>
      <c r="G60" s="152"/>
      <c r="H60" s="152"/>
      <c r="I60" s="153"/>
      <c r="J60" s="159" t="str">
        <f t="shared" si="5"/>
        <v>Business Market Position</v>
      </c>
      <c r="K60" s="161">
        <v>1</v>
      </c>
      <c r="L60" s="260">
        <f>D60+(ABS(1-D60)*$K$2)</f>
        <v>1.1200000000000001</v>
      </c>
      <c r="M60" s="260">
        <f t="shared" ref="M60:N62" si="9">E60+(ABS(1-E60)*$K$2)</f>
        <v>1.06</v>
      </c>
      <c r="N60" s="260">
        <f t="shared" si="9"/>
        <v>1.036</v>
      </c>
      <c r="O60" s="152"/>
      <c r="P60" s="152"/>
      <c r="Q60" s="159" t="str">
        <f t="shared" si="6"/>
        <v>Business Market Position</v>
      </c>
      <c r="R60" s="161">
        <v>1</v>
      </c>
      <c r="S60" s="260">
        <f t="shared" ref="S60:U62" si="10">D60-(ABS(1-D60)*$R$2)</f>
        <v>1.08</v>
      </c>
      <c r="T60" s="260">
        <f t="shared" si="10"/>
        <v>1.04</v>
      </c>
      <c r="U60" s="260">
        <f t="shared" si="10"/>
        <v>1.024</v>
      </c>
      <c r="V60" s="152"/>
      <c r="W60" s="53"/>
    </row>
    <row r="61" spans="1:23" ht="12.75" customHeight="1" x14ac:dyDescent="0.2">
      <c r="A61" s="18"/>
      <c r="B61" s="159" t="str">
        <f>+Input!B45</f>
        <v>Variable Cost Efficiency</v>
      </c>
      <c r="C61" s="161">
        <v>1</v>
      </c>
      <c r="D61" s="260">
        <f>+Input!C45</f>
        <v>1.03</v>
      </c>
      <c r="E61" s="162">
        <f>+Input!D45</f>
        <v>1.05</v>
      </c>
      <c r="F61" s="162">
        <f>+Input!E45</f>
        <v>1</v>
      </c>
      <c r="G61" s="152"/>
      <c r="H61" s="152"/>
      <c r="I61" s="153"/>
      <c r="J61" s="159" t="str">
        <f t="shared" si="5"/>
        <v>Variable Cost Efficiency</v>
      </c>
      <c r="K61" s="161">
        <v>1</v>
      </c>
      <c r="L61" s="260">
        <f>D61+(ABS(1-D61)*$K$2)</f>
        <v>1.036</v>
      </c>
      <c r="M61" s="260">
        <f t="shared" si="9"/>
        <v>1.06</v>
      </c>
      <c r="N61" s="260">
        <f t="shared" si="9"/>
        <v>1</v>
      </c>
      <c r="O61" s="152"/>
      <c r="P61" s="152"/>
      <c r="Q61" s="159" t="str">
        <f t="shared" si="6"/>
        <v>Variable Cost Efficiency</v>
      </c>
      <c r="R61" s="161">
        <v>1</v>
      </c>
      <c r="S61" s="260">
        <f t="shared" si="10"/>
        <v>1.024</v>
      </c>
      <c r="T61" s="260">
        <f t="shared" si="10"/>
        <v>1.04</v>
      </c>
      <c r="U61" s="260">
        <f t="shared" si="10"/>
        <v>1</v>
      </c>
      <c r="V61" s="152"/>
      <c r="W61" s="53"/>
    </row>
    <row r="62" spans="1:23" ht="12.75" customHeight="1" x14ac:dyDescent="0.2">
      <c r="A62" s="18"/>
      <c r="B62" s="163" t="str">
        <f>+Input!B46</f>
        <v>Fixed Cost Efficiency</v>
      </c>
      <c r="C62" s="161">
        <v>1</v>
      </c>
      <c r="D62" s="261">
        <f>+Input!C46</f>
        <v>1</v>
      </c>
      <c r="E62" s="262">
        <f>+Input!D46</f>
        <v>1.02</v>
      </c>
      <c r="F62" s="262">
        <f>+Input!E46</f>
        <v>1.05</v>
      </c>
      <c r="G62" s="152"/>
      <c r="H62" s="152"/>
      <c r="I62" s="153"/>
      <c r="J62" s="159" t="str">
        <f t="shared" si="5"/>
        <v>Fixed Cost Efficiency</v>
      </c>
      <c r="K62" s="161">
        <v>1</v>
      </c>
      <c r="L62" s="260">
        <f>D62+(ABS(1-D62)*$K$2)</f>
        <v>1</v>
      </c>
      <c r="M62" s="260">
        <f t="shared" si="9"/>
        <v>1.024</v>
      </c>
      <c r="N62" s="260">
        <f t="shared" si="9"/>
        <v>1.06</v>
      </c>
      <c r="O62" s="152"/>
      <c r="P62" s="152"/>
      <c r="Q62" s="159" t="str">
        <f t="shared" si="6"/>
        <v>Fixed Cost Efficiency</v>
      </c>
      <c r="R62" s="161">
        <v>1</v>
      </c>
      <c r="S62" s="260">
        <f t="shared" si="10"/>
        <v>1</v>
      </c>
      <c r="T62" s="260">
        <f t="shared" si="10"/>
        <v>1.016</v>
      </c>
      <c r="U62" s="260">
        <f t="shared" si="10"/>
        <v>1.04</v>
      </c>
      <c r="V62" s="152"/>
      <c r="W62" s="53"/>
    </row>
    <row r="63" spans="1:23" ht="12.75" customHeight="1" x14ac:dyDescent="0.2">
      <c r="A63" s="18"/>
      <c r="B63" s="163" t="str">
        <f>+Input!B48</f>
        <v>Fixed Cost Flow-on</v>
      </c>
      <c r="C63" s="263">
        <f>+Input!C48</f>
        <v>0.25</v>
      </c>
      <c r="D63" s="164"/>
      <c r="E63" s="164"/>
      <c r="F63" s="164"/>
      <c r="G63" s="152"/>
      <c r="H63" s="152"/>
      <c r="I63" s="153"/>
      <c r="J63" s="165" t="str">
        <f t="shared" si="5"/>
        <v>Fixed Cost Flow-on</v>
      </c>
      <c r="K63" s="264">
        <f>$C$63*(1-$K$2)</f>
        <v>0.2</v>
      </c>
      <c r="L63" s="164"/>
      <c r="M63" s="164"/>
      <c r="N63" s="164"/>
      <c r="O63" s="152"/>
      <c r="P63" s="152"/>
      <c r="Q63" s="165" t="str">
        <f t="shared" si="6"/>
        <v>Fixed Cost Flow-on</v>
      </c>
      <c r="R63" s="264">
        <f>$C$63*(1+$R$2)</f>
        <v>0.3</v>
      </c>
      <c r="S63" s="164"/>
      <c r="T63" s="164"/>
      <c r="U63" s="164"/>
      <c r="V63" s="152"/>
      <c r="W63" s="53"/>
    </row>
    <row r="64" spans="1:23" ht="12.75" customHeight="1" x14ac:dyDescent="0.2">
      <c r="A64" s="18"/>
      <c r="B64" s="166" t="s">
        <v>165</v>
      </c>
      <c r="C64" s="265">
        <f>+D76</f>
        <v>60000</v>
      </c>
      <c r="D64" s="167">
        <f>+C64*D$58</f>
        <v>60000</v>
      </c>
      <c r="E64" s="168">
        <f>+D64*$E$58</f>
        <v>61800</v>
      </c>
      <c r="F64" s="168">
        <f>+E64*$F$58</f>
        <v>64890</v>
      </c>
      <c r="G64" s="152"/>
      <c r="H64" s="152"/>
      <c r="I64" s="153"/>
      <c r="J64" s="166" t="str">
        <f>+B64</f>
        <v>Owners Max Business Labor Earnings</v>
      </c>
      <c r="K64" s="265">
        <f>+L76</f>
        <v>60000</v>
      </c>
      <c r="L64" s="167">
        <f>+K64*L$58</f>
        <v>60000</v>
      </c>
      <c r="M64" s="168">
        <f>+L64*$E$58</f>
        <v>61800</v>
      </c>
      <c r="N64" s="168">
        <f>+M64*$F$58</f>
        <v>64890</v>
      </c>
      <c r="O64" s="152"/>
      <c r="P64" s="152"/>
      <c r="Q64" s="197" t="str">
        <f>+B64</f>
        <v>Owners Max Business Labor Earnings</v>
      </c>
      <c r="R64" s="196">
        <f>+C64</f>
        <v>60000</v>
      </c>
      <c r="S64" s="167">
        <f>+R64*S$58</f>
        <v>60000</v>
      </c>
      <c r="T64" s="168">
        <f>+S64*$E$58</f>
        <v>61800</v>
      </c>
      <c r="U64" s="168">
        <f>+T64*$F$58</f>
        <v>64890</v>
      </c>
      <c r="V64" s="152"/>
      <c r="W64" s="53"/>
    </row>
    <row r="65" spans="1:23" ht="12.75" customHeight="1" x14ac:dyDescent="0.2">
      <c r="A65" s="18"/>
      <c r="B65" s="169" t="str">
        <f>+B5</f>
        <v>Business Revenue</v>
      </c>
      <c r="C65" s="170">
        <f>+C5</f>
        <v>500000</v>
      </c>
      <c r="D65" s="170">
        <f>+D5</f>
        <v>560679.61165048543</v>
      </c>
      <c r="E65" s="170">
        <f>+E5</f>
        <v>588713.59223300975</v>
      </c>
      <c r="F65" s="170">
        <f>+F5</f>
        <v>625128.8659793816</v>
      </c>
      <c r="G65" s="152"/>
      <c r="H65" s="152"/>
      <c r="I65" s="153"/>
      <c r="J65" s="169" t="str">
        <f>+J5</f>
        <v>Business Revenue</v>
      </c>
      <c r="K65" s="170">
        <f>+K5</f>
        <v>500000</v>
      </c>
      <c r="L65" s="170">
        <f>+L5</f>
        <v>579687.5</v>
      </c>
      <c r="M65" s="170">
        <f>+M5</f>
        <v>614468.75</v>
      </c>
      <c r="N65" s="170">
        <f>+N5</f>
        <v>660362.68153526972</v>
      </c>
      <c r="O65" s="152"/>
      <c r="P65" s="152"/>
      <c r="Q65" s="169" t="str">
        <f>+Q5</f>
        <v>Business Revenue</v>
      </c>
      <c r="R65" s="170">
        <f>+R5</f>
        <v>500000</v>
      </c>
      <c r="S65" s="170">
        <f>+S5</f>
        <v>542084.94208494201</v>
      </c>
      <c r="T65" s="170">
        <f>+T5</f>
        <v>563768.33976833976</v>
      </c>
      <c r="U65" s="170">
        <f>+U5</f>
        <v>591494.65156022529</v>
      </c>
      <c r="V65" s="152"/>
      <c r="W65" s="53"/>
    </row>
    <row r="66" spans="1:23" ht="12.75" customHeight="1" x14ac:dyDescent="0.2">
      <c r="A66" s="18"/>
      <c r="B66" s="171" t="str">
        <f t="shared" ref="B66:F67" si="11">+B20</f>
        <v>Total Variable Costs</v>
      </c>
      <c r="C66" s="172">
        <f t="shared" si="11"/>
        <v>310000</v>
      </c>
      <c r="D66" s="172">
        <f t="shared" si="11"/>
        <v>338040.81440286536</v>
      </c>
      <c r="E66" s="172">
        <f t="shared" si="11"/>
        <v>346777.61806013767</v>
      </c>
      <c r="F66" s="172">
        <f t="shared" si="11"/>
        <v>383111.80062055867</v>
      </c>
      <c r="G66" s="152"/>
      <c r="H66" s="152"/>
      <c r="I66" s="153"/>
      <c r="J66" s="171" t="str">
        <f t="shared" ref="J66:N67" si="12">+J20</f>
        <v>Total Variable Costs</v>
      </c>
      <c r="K66" s="172">
        <f t="shared" si="12"/>
        <v>310000</v>
      </c>
      <c r="L66" s="172">
        <f t="shared" si="12"/>
        <v>347476.7736486487</v>
      </c>
      <c r="M66" s="172">
        <f t="shared" si="12"/>
        <v>354778.82179054053</v>
      </c>
      <c r="N66" s="172">
        <f t="shared" si="12"/>
        <v>393592.1777748962</v>
      </c>
      <c r="O66" s="152"/>
      <c r="P66" s="152"/>
      <c r="Q66" s="171" t="str">
        <f t="shared" ref="Q66:U67" si="13">+Q20</f>
        <v>Total Variable Costs</v>
      </c>
      <c r="R66" s="172">
        <f t="shared" si="13"/>
        <v>310000</v>
      </c>
      <c r="S66" s="172">
        <f t="shared" si="13"/>
        <v>328744.8721042471</v>
      </c>
      <c r="T66" s="172">
        <f t="shared" si="13"/>
        <v>338829.55779440154</v>
      </c>
      <c r="U66" s="172">
        <f t="shared" si="13"/>
        <v>372755.6016203558</v>
      </c>
      <c r="V66" s="152"/>
      <c r="W66" s="53"/>
    </row>
    <row r="67" spans="1:23" ht="12.75" customHeight="1" x14ac:dyDescent="0.2">
      <c r="A67" s="18"/>
      <c r="B67" s="171" t="str">
        <f t="shared" si="11"/>
        <v>Total Variable Costs %</v>
      </c>
      <c r="C67" s="173">
        <f t="shared" si="11"/>
        <v>0.62</v>
      </c>
      <c r="D67" s="173">
        <f t="shared" si="11"/>
        <v>0.60291262135922308</v>
      </c>
      <c r="E67" s="173">
        <f t="shared" si="11"/>
        <v>0.58904299583911235</v>
      </c>
      <c r="F67" s="173">
        <f t="shared" si="11"/>
        <v>0.6128525196486363</v>
      </c>
      <c r="G67" s="152"/>
      <c r="H67" s="152"/>
      <c r="I67" s="153"/>
      <c r="J67" s="171" t="str">
        <f t="shared" si="12"/>
        <v>Total Variable Costs %</v>
      </c>
      <c r="K67" s="173">
        <f t="shared" si="12"/>
        <v>0.62</v>
      </c>
      <c r="L67" s="173">
        <f t="shared" si="12"/>
        <v>0.5994208494208495</v>
      </c>
      <c r="M67" s="173">
        <f t="shared" si="12"/>
        <v>0.57737488162016459</v>
      </c>
      <c r="N67" s="173">
        <f t="shared" si="12"/>
        <v>0.59602425876010767</v>
      </c>
      <c r="O67" s="152"/>
      <c r="P67" s="152"/>
      <c r="Q67" s="171" t="str">
        <f t="shared" si="13"/>
        <v>Total Variable Costs %</v>
      </c>
      <c r="R67" s="173">
        <f t="shared" si="13"/>
        <v>0.62</v>
      </c>
      <c r="S67" s="173">
        <f t="shared" si="13"/>
        <v>0.60644531250000011</v>
      </c>
      <c r="T67" s="173">
        <f t="shared" si="13"/>
        <v>0.60100848858173073</v>
      </c>
      <c r="U67" s="173">
        <f t="shared" si="13"/>
        <v>0.63019268329326938</v>
      </c>
      <c r="V67" s="152"/>
      <c r="W67" s="53"/>
    </row>
    <row r="68" spans="1:23" ht="12.75" customHeight="1" x14ac:dyDescent="0.2">
      <c r="A68" s="18"/>
      <c r="B68" s="171" t="str">
        <f t="shared" ref="B68:F69" si="14">+B38</f>
        <v>Total Fixed Costs</v>
      </c>
      <c r="C68" s="172">
        <f t="shared" si="14"/>
        <v>130000</v>
      </c>
      <c r="D68" s="172">
        <f t="shared" si="14"/>
        <v>133944.17475728155</v>
      </c>
      <c r="E68" s="172">
        <f t="shared" si="14"/>
        <v>135766.38349514565</v>
      </c>
      <c r="F68" s="172">
        <f t="shared" si="14"/>
        <v>136645.19080828209</v>
      </c>
      <c r="G68" s="152"/>
      <c r="H68" s="152"/>
      <c r="I68" s="153"/>
      <c r="J68" s="171" t="str">
        <f t="shared" ref="J68:N69" si="15">+J38</f>
        <v>Total Fixed Costs</v>
      </c>
      <c r="K68" s="172">
        <f t="shared" si="15"/>
        <v>130000</v>
      </c>
      <c r="L68" s="172">
        <f t="shared" si="15"/>
        <v>135179.6875</v>
      </c>
      <c r="M68" s="172">
        <f t="shared" si="15"/>
        <v>137068.78479003906</v>
      </c>
      <c r="N68" s="172">
        <f t="shared" si="15"/>
        <v>137022.53163487557</v>
      </c>
      <c r="O68" s="152"/>
      <c r="P68" s="152"/>
      <c r="Q68" s="171" t="str">
        <f t="shared" ref="Q68:U69" si="16">+Q38</f>
        <v>Total Fixed Costs</v>
      </c>
      <c r="R68" s="172">
        <f t="shared" si="16"/>
        <v>130000</v>
      </c>
      <c r="S68" s="172">
        <f t="shared" si="16"/>
        <v>132735.52123552124</v>
      </c>
      <c r="T68" s="172">
        <f t="shared" si="16"/>
        <v>134510.57033411364</v>
      </c>
      <c r="U68" s="172">
        <f t="shared" si="16"/>
        <v>136353.32162619143</v>
      </c>
      <c r="V68" s="152"/>
      <c r="W68" s="53"/>
    </row>
    <row r="69" spans="1:23" ht="12.75" customHeight="1" x14ac:dyDescent="0.2">
      <c r="A69" s="18"/>
      <c r="B69" s="171" t="str">
        <f t="shared" si="14"/>
        <v>Total Fixed Costs %</v>
      </c>
      <c r="C69" s="173">
        <f t="shared" si="14"/>
        <v>0.26</v>
      </c>
      <c r="D69" s="173">
        <f t="shared" si="14"/>
        <v>0.23889610389610388</v>
      </c>
      <c r="E69" s="173">
        <f t="shared" si="14"/>
        <v>0.23061533704390849</v>
      </c>
      <c r="F69" s="173">
        <f t="shared" si="14"/>
        <v>0.21858723576010486</v>
      </c>
      <c r="G69" s="152"/>
      <c r="H69" s="152"/>
      <c r="I69" s="153"/>
      <c r="J69" s="171" t="str">
        <f t="shared" si="15"/>
        <v>Total Fixed Costs %</v>
      </c>
      <c r="K69" s="173">
        <f t="shared" si="15"/>
        <v>0.26</v>
      </c>
      <c r="L69" s="173">
        <f t="shared" si="15"/>
        <v>0.23319407008086254</v>
      </c>
      <c r="M69" s="173">
        <f t="shared" si="15"/>
        <v>0.22306876434324621</v>
      </c>
      <c r="N69" s="173">
        <f t="shared" si="15"/>
        <v>0.20749587380727427</v>
      </c>
      <c r="O69" s="152"/>
      <c r="P69" s="152"/>
      <c r="Q69" s="171" t="str">
        <f t="shared" si="16"/>
        <v>Total Fixed Costs %</v>
      </c>
      <c r="R69" s="173">
        <f t="shared" si="16"/>
        <v>0.26</v>
      </c>
      <c r="S69" s="173">
        <f t="shared" si="16"/>
        <v>0.24486111111111117</v>
      </c>
      <c r="T69" s="173">
        <f t="shared" si="16"/>
        <v>0.23859191949194219</v>
      </c>
      <c r="U69" s="173">
        <f t="shared" si="16"/>
        <v>0.23052333823564269</v>
      </c>
      <c r="V69" s="152"/>
      <c r="W69" s="53"/>
    </row>
    <row r="70" spans="1:23" ht="12.75" customHeight="1" x14ac:dyDescent="0.2">
      <c r="A70" s="18"/>
      <c r="B70" s="171" t="str">
        <f t="shared" ref="B70:F71" si="17">+B43</f>
        <v>Operating Surplus</v>
      </c>
      <c r="C70" s="172">
        <f t="shared" si="17"/>
        <v>60000</v>
      </c>
      <c r="D70" s="172">
        <f t="shared" si="17"/>
        <v>88694.622490338515</v>
      </c>
      <c r="E70" s="172">
        <f t="shared" si="17"/>
        <v>106169.59067772643</v>
      </c>
      <c r="F70" s="172">
        <f t="shared" si="17"/>
        <v>105371.87455054082</v>
      </c>
      <c r="G70" s="152"/>
      <c r="H70" s="152"/>
      <c r="I70" s="153"/>
      <c r="J70" s="171" t="str">
        <f t="shared" ref="J70:N71" si="18">+J43</f>
        <v>Operating Surplus</v>
      </c>
      <c r="K70" s="172">
        <f t="shared" si="18"/>
        <v>60000</v>
      </c>
      <c r="L70" s="172">
        <f t="shared" si="18"/>
        <v>97031.038851351303</v>
      </c>
      <c r="M70" s="172">
        <f t="shared" si="18"/>
        <v>122621.1434194204</v>
      </c>
      <c r="N70" s="172">
        <f t="shared" si="18"/>
        <v>129747.972125498</v>
      </c>
      <c r="O70" s="152"/>
      <c r="P70" s="152"/>
      <c r="Q70" s="171" t="str">
        <f t="shared" ref="Q70:U71" si="19">+Q43</f>
        <v>Operating Surplus</v>
      </c>
      <c r="R70" s="172">
        <f t="shared" si="19"/>
        <v>60000</v>
      </c>
      <c r="S70" s="172">
        <f t="shared" si="19"/>
        <v>80604.54874517367</v>
      </c>
      <c r="T70" s="172">
        <f t="shared" si="19"/>
        <v>90428.211639824556</v>
      </c>
      <c r="U70" s="172">
        <f t="shared" si="19"/>
        <v>82385.728313678061</v>
      </c>
      <c r="V70" s="152"/>
      <c r="W70" s="53"/>
    </row>
    <row r="71" spans="1:23" x14ac:dyDescent="0.2">
      <c r="A71" s="18"/>
      <c r="B71" s="175" t="str">
        <f t="shared" si="17"/>
        <v>Operating Surplus %</v>
      </c>
      <c r="C71" s="176">
        <f t="shared" si="17"/>
        <v>0.12</v>
      </c>
      <c r="D71" s="176">
        <f t="shared" si="17"/>
        <v>0.15819127474467304</v>
      </c>
      <c r="E71" s="176">
        <f t="shared" si="17"/>
        <v>0.18034166711697913</v>
      </c>
      <c r="F71" s="176">
        <f t="shared" si="17"/>
        <v>0.16856024459125882</v>
      </c>
      <c r="G71" s="152"/>
      <c r="H71" s="174"/>
      <c r="I71" s="153"/>
      <c r="J71" s="175" t="str">
        <f t="shared" si="18"/>
        <v>Operating Surplus %</v>
      </c>
      <c r="K71" s="176">
        <f t="shared" si="18"/>
        <v>0.12</v>
      </c>
      <c r="L71" s="176">
        <f t="shared" si="18"/>
        <v>0.16738508049828796</v>
      </c>
      <c r="M71" s="176">
        <f t="shared" si="18"/>
        <v>0.19955635403658917</v>
      </c>
      <c r="N71" s="176">
        <f t="shared" si="18"/>
        <v>0.19647986743261808</v>
      </c>
      <c r="O71" s="152"/>
      <c r="P71" s="174"/>
      <c r="Q71" s="175" t="str">
        <f t="shared" si="19"/>
        <v>Operating Surplus %</v>
      </c>
      <c r="R71" s="176">
        <f t="shared" si="19"/>
        <v>0.12</v>
      </c>
      <c r="S71" s="176">
        <f t="shared" si="19"/>
        <v>0.14869357638888878</v>
      </c>
      <c r="T71" s="176">
        <f t="shared" si="19"/>
        <v>0.16039959192632697</v>
      </c>
      <c r="U71" s="176">
        <f t="shared" si="19"/>
        <v>0.13928397847108789</v>
      </c>
      <c r="V71" s="152"/>
      <c r="W71" s="61"/>
    </row>
    <row r="72" spans="1:23" ht="12.75" customHeight="1" x14ac:dyDescent="0.2">
      <c r="A72" s="18"/>
      <c r="B72" s="590"/>
      <c r="C72" s="589"/>
      <c r="D72" s="589"/>
      <c r="E72" s="177"/>
      <c r="F72" s="177"/>
      <c r="G72" s="151"/>
      <c r="H72" s="152"/>
      <c r="I72" s="153"/>
      <c r="J72" s="590"/>
      <c r="K72" s="589"/>
      <c r="L72" s="589"/>
      <c r="M72" s="177"/>
      <c r="N72" s="177"/>
      <c r="O72" s="151"/>
      <c r="P72" s="152"/>
      <c r="Q72" s="590"/>
      <c r="R72" s="589"/>
      <c r="S72" s="589"/>
      <c r="T72" s="177"/>
      <c r="U72" s="177"/>
      <c r="V72" s="151"/>
      <c r="W72" s="57"/>
    </row>
    <row r="73" spans="1:23" x14ac:dyDescent="0.2">
      <c r="A73" s="18"/>
      <c r="B73" s="178" t="s">
        <v>139</v>
      </c>
      <c r="C73" s="153"/>
      <c r="D73" s="153"/>
      <c r="E73" s="152"/>
      <c r="F73" s="152"/>
      <c r="G73" s="155"/>
      <c r="H73" s="179"/>
      <c r="I73" s="153"/>
      <c r="J73" s="178" t="s">
        <v>139</v>
      </c>
      <c r="K73" s="153"/>
      <c r="L73" s="153"/>
      <c r="M73" s="152"/>
      <c r="N73" s="152"/>
      <c r="O73" s="155"/>
      <c r="P73" s="179"/>
      <c r="Q73" s="178" t="s">
        <v>139</v>
      </c>
      <c r="R73" s="153"/>
      <c r="S73" s="153"/>
      <c r="T73" s="152"/>
      <c r="U73" s="152"/>
      <c r="V73" s="155"/>
      <c r="W73" s="56"/>
    </row>
    <row r="74" spans="1:23" x14ac:dyDescent="0.2">
      <c r="A74" s="18"/>
      <c r="B74" s="180" t="s">
        <v>163</v>
      </c>
      <c r="C74" s="181"/>
      <c r="D74" s="182">
        <f>+C12+C32</f>
        <v>60000</v>
      </c>
      <c r="E74" s="152"/>
      <c r="F74" s="152"/>
      <c r="G74" s="152"/>
      <c r="H74" s="152"/>
      <c r="I74" s="153"/>
      <c r="J74" s="180" t="s">
        <v>163</v>
      </c>
      <c r="K74" s="181"/>
      <c r="L74" s="182">
        <f>+K12+K32</f>
        <v>60000</v>
      </c>
      <c r="M74" s="152"/>
      <c r="N74" s="152"/>
      <c r="O74" s="152"/>
      <c r="P74" s="152"/>
      <c r="Q74" s="180" t="s">
        <v>163</v>
      </c>
      <c r="R74" s="181"/>
      <c r="S74" s="182">
        <f>+R12+R32</f>
        <v>60000</v>
      </c>
      <c r="T74" s="152"/>
      <c r="U74" s="152"/>
      <c r="V74" s="152"/>
      <c r="W74" s="57"/>
    </row>
    <row r="75" spans="1:23" x14ac:dyDescent="0.2">
      <c r="A75" s="18"/>
      <c r="B75" s="183" t="str">
        <f>+Input!B50</f>
        <v>Owners Time Commitment to Business</v>
      </c>
      <c r="C75" s="184"/>
      <c r="D75" s="266">
        <f>+Input!C50</f>
        <v>1</v>
      </c>
      <c r="E75" s="152"/>
      <c r="F75" s="152"/>
      <c r="G75" s="152"/>
      <c r="H75" s="152"/>
      <c r="I75" s="153"/>
      <c r="J75" s="183" t="str">
        <f>+B75</f>
        <v>Owners Time Commitment to Business</v>
      </c>
      <c r="K75" s="184"/>
      <c r="L75" s="266">
        <f>+D75</f>
        <v>1</v>
      </c>
      <c r="M75" s="152"/>
      <c r="N75" s="152"/>
      <c r="O75" s="152"/>
      <c r="P75" s="152"/>
      <c r="Q75" s="267" t="str">
        <f>+B75</f>
        <v>Owners Time Commitment to Business</v>
      </c>
      <c r="R75" s="184"/>
      <c r="S75" s="268">
        <f>+D75</f>
        <v>1</v>
      </c>
      <c r="T75" s="152"/>
      <c r="U75" s="152"/>
      <c r="V75" s="152"/>
      <c r="W75" s="57"/>
    </row>
    <row r="76" spans="1:23" x14ac:dyDescent="0.2">
      <c r="A76" s="18"/>
      <c r="B76" s="166" t="s">
        <v>160</v>
      </c>
      <c r="C76" s="184"/>
      <c r="D76" s="185">
        <f>+D74/D75</f>
        <v>60000</v>
      </c>
      <c r="E76" s="152"/>
      <c r="F76" s="179"/>
      <c r="G76" s="179"/>
      <c r="H76" s="152"/>
      <c r="I76" s="153"/>
      <c r="J76" s="166" t="s">
        <v>160</v>
      </c>
      <c r="K76" s="184"/>
      <c r="L76" s="185">
        <f>+L74/L75</f>
        <v>60000</v>
      </c>
      <c r="M76" s="152"/>
      <c r="N76" s="179"/>
      <c r="O76" s="179"/>
      <c r="P76" s="152"/>
      <c r="Q76" s="166" t="s">
        <v>160</v>
      </c>
      <c r="R76" s="184"/>
      <c r="S76" s="209">
        <f>+S74/S75</f>
        <v>60000</v>
      </c>
      <c r="T76" s="152"/>
      <c r="U76" s="179"/>
      <c r="V76" s="179"/>
      <c r="W76" s="57"/>
    </row>
    <row r="77" spans="1:23" x14ac:dyDescent="0.2">
      <c r="A77" s="18"/>
      <c r="B77" s="183" t="str">
        <f>+Input!B51</f>
        <v>Replacement Value of Business Assets</v>
      </c>
      <c r="C77" s="184"/>
      <c r="D77" s="185">
        <f>+Input!C51</f>
        <v>100000</v>
      </c>
      <c r="E77" s="152"/>
      <c r="F77" s="152"/>
      <c r="G77" s="152"/>
      <c r="H77" s="186"/>
      <c r="I77" s="153"/>
      <c r="J77" s="183" t="str">
        <f>+B77</f>
        <v>Replacement Value of Business Assets</v>
      </c>
      <c r="K77" s="184"/>
      <c r="L77" s="185">
        <f>+D77</f>
        <v>100000</v>
      </c>
      <c r="M77" s="152"/>
      <c r="N77" s="152"/>
      <c r="O77" s="152"/>
      <c r="P77" s="186"/>
      <c r="Q77" s="267" t="str">
        <f>+B77</f>
        <v>Replacement Value of Business Assets</v>
      </c>
      <c r="R77" s="184"/>
      <c r="S77" s="209">
        <f>+D77</f>
        <v>100000</v>
      </c>
      <c r="T77" s="152"/>
      <c r="U77" s="152"/>
      <c r="V77" s="152"/>
      <c r="W77" s="62"/>
    </row>
    <row r="78" spans="1:23" x14ac:dyDescent="0.2">
      <c r="A78" s="18"/>
      <c r="B78" s="187" t="str">
        <f>+Input!B52</f>
        <v>Life of Assets (years)</v>
      </c>
      <c r="C78" s="292"/>
      <c r="D78" s="293">
        <f>+Input!C52</f>
        <v>8</v>
      </c>
      <c r="E78" s="152"/>
      <c r="F78" s="152"/>
      <c r="G78" s="152"/>
      <c r="H78" s="186"/>
      <c r="I78" s="153"/>
      <c r="J78" s="187" t="str">
        <f>+B78</f>
        <v>Life of Assets (years)</v>
      </c>
      <c r="K78" s="292"/>
      <c r="L78" s="293">
        <f>+D78</f>
        <v>8</v>
      </c>
      <c r="M78" s="152"/>
      <c r="N78" s="152"/>
      <c r="O78" s="152"/>
      <c r="P78" s="186"/>
      <c r="Q78" s="299" t="str">
        <f>+B78</f>
        <v>Life of Assets (years)</v>
      </c>
      <c r="R78" s="292"/>
      <c r="S78" s="300">
        <f>+D78</f>
        <v>8</v>
      </c>
      <c r="T78" s="152"/>
      <c r="U78" s="152"/>
      <c r="V78" s="152"/>
      <c r="W78" s="62"/>
    </row>
    <row r="79" spans="1:23" x14ac:dyDescent="0.2">
      <c r="A79" s="18"/>
      <c r="B79" s="188"/>
      <c r="C79" s="189"/>
      <c r="D79" s="189"/>
      <c r="E79" s="190"/>
      <c r="F79" s="152"/>
      <c r="G79" s="151"/>
      <c r="H79" s="152"/>
      <c r="I79" s="153"/>
      <c r="J79" s="188"/>
      <c r="K79" s="189"/>
      <c r="L79" s="189"/>
      <c r="M79" s="190"/>
      <c r="N79" s="152"/>
      <c r="O79" s="151"/>
      <c r="P79" s="152"/>
      <c r="Q79" s="188"/>
      <c r="R79" s="189"/>
      <c r="S79" s="189"/>
      <c r="T79" s="190"/>
      <c r="U79" s="152"/>
      <c r="V79" s="151"/>
      <c r="W79" s="53"/>
    </row>
    <row r="80" spans="1:23" x14ac:dyDescent="0.2">
      <c r="A80" s="18"/>
      <c r="B80" s="191" t="s">
        <v>141</v>
      </c>
      <c r="C80" s="189"/>
      <c r="D80" s="189"/>
      <c r="E80" s="190"/>
      <c r="F80" s="152"/>
      <c r="G80" s="155"/>
      <c r="H80" s="152"/>
      <c r="I80" s="153"/>
      <c r="J80" s="191" t="s">
        <v>141</v>
      </c>
      <c r="K80" s="189"/>
      <c r="L80" s="189"/>
      <c r="M80" s="190"/>
      <c r="N80" s="152"/>
      <c r="O80" s="155"/>
      <c r="P80" s="152"/>
      <c r="Q80" s="191" t="s">
        <v>141</v>
      </c>
      <c r="R80" s="189"/>
      <c r="S80" s="189"/>
      <c r="T80" s="190"/>
      <c r="U80" s="152"/>
      <c r="V80" s="155"/>
      <c r="W80" s="53"/>
    </row>
    <row r="81" spans="1:23" ht="25.5" x14ac:dyDescent="0.2">
      <c r="A81" s="42"/>
      <c r="B81" s="192"/>
      <c r="C81" s="193" t="str">
        <f t="shared" ref="C81:F82" si="20">+C4</f>
        <v>Current Year</v>
      </c>
      <c r="D81" s="193" t="str">
        <f t="shared" si="20"/>
        <v>Year 1</v>
      </c>
      <c r="E81" s="193" t="str">
        <f t="shared" si="20"/>
        <v>Year 2</v>
      </c>
      <c r="F81" s="193" t="str">
        <f t="shared" si="20"/>
        <v>Year 3</v>
      </c>
      <c r="G81" s="193" t="s">
        <v>142</v>
      </c>
      <c r="H81" s="152"/>
      <c r="I81" s="194"/>
      <c r="J81" s="192"/>
      <c r="K81" s="193" t="str">
        <f t="shared" ref="K81:N82" si="21">+K4</f>
        <v>Current Year</v>
      </c>
      <c r="L81" s="193" t="str">
        <f t="shared" si="21"/>
        <v>Year 1</v>
      </c>
      <c r="M81" s="193" t="str">
        <f t="shared" si="21"/>
        <v>Year 2</v>
      </c>
      <c r="N81" s="193" t="str">
        <f t="shared" si="21"/>
        <v>Year 3</v>
      </c>
      <c r="O81" s="193" t="s">
        <v>142</v>
      </c>
      <c r="P81" s="152"/>
      <c r="Q81" s="192"/>
      <c r="R81" s="193" t="str">
        <f t="shared" ref="R81:U82" si="22">+R4</f>
        <v>Current Year</v>
      </c>
      <c r="S81" s="193" t="str">
        <f t="shared" si="22"/>
        <v>Year 1</v>
      </c>
      <c r="T81" s="193" t="str">
        <f t="shared" si="22"/>
        <v>Year 2</v>
      </c>
      <c r="U81" s="193" t="str">
        <f t="shared" si="22"/>
        <v>Year 3</v>
      </c>
      <c r="V81" s="193" t="s">
        <v>142</v>
      </c>
      <c r="W81" s="53"/>
    </row>
    <row r="82" spans="1:23" x14ac:dyDescent="0.2">
      <c r="A82" s="18"/>
      <c r="B82" s="195" t="str">
        <f>+B5</f>
        <v>Business Revenue</v>
      </c>
      <c r="C82" s="196">
        <f t="shared" si="20"/>
        <v>500000</v>
      </c>
      <c r="D82" s="196">
        <f t="shared" si="20"/>
        <v>560679.61165048543</v>
      </c>
      <c r="E82" s="196">
        <f t="shared" si="20"/>
        <v>588713.59223300975</v>
      </c>
      <c r="F82" s="196">
        <f t="shared" si="20"/>
        <v>625128.8659793816</v>
      </c>
      <c r="G82" s="197">
        <f>AVERAGE(D82:F82)</f>
        <v>591507.35662095889</v>
      </c>
      <c r="H82" s="152"/>
      <c r="I82" s="153"/>
      <c r="J82" s="195" t="str">
        <f>+J5</f>
        <v>Business Revenue</v>
      </c>
      <c r="K82" s="196">
        <f t="shared" si="21"/>
        <v>500000</v>
      </c>
      <c r="L82" s="196">
        <f t="shared" si="21"/>
        <v>579687.5</v>
      </c>
      <c r="M82" s="196">
        <f t="shared" si="21"/>
        <v>614468.75</v>
      </c>
      <c r="N82" s="196">
        <f t="shared" si="21"/>
        <v>660362.68153526972</v>
      </c>
      <c r="O82" s="197">
        <f>AVERAGE(L82:N82)</f>
        <v>618172.9771784232</v>
      </c>
      <c r="P82" s="152"/>
      <c r="Q82" s="195" t="str">
        <f>+Q5</f>
        <v>Business Revenue</v>
      </c>
      <c r="R82" s="196">
        <f t="shared" si="22"/>
        <v>500000</v>
      </c>
      <c r="S82" s="196">
        <f t="shared" si="22"/>
        <v>542084.94208494201</v>
      </c>
      <c r="T82" s="196">
        <f t="shared" si="22"/>
        <v>563768.33976833976</v>
      </c>
      <c r="U82" s="196">
        <f t="shared" si="22"/>
        <v>591494.65156022529</v>
      </c>
      <c r="V82" s="197">
        <f>AVERAGE(S82:U82)</f>
        <v>565782.6444711691</v>
      </c>
      <c r="W82" s="53"/>
    </row>
    <row r="83" spans="1:23" x14ac:dyDescent="0.2">
      <c r="A83" s="18"/>
      <c r="B83" s="198" t="str">
        <f>+B20</f>
        <v>Total Variable Costs</v>
      </c>
      <c r="C83" s="172">
        <f>+C20</f>
        <v>310000</v>
      </c>
      <c r="D83" s="172">
        <f>+D20</f>
        <v>338040.81440286536</v>
      </c>
      <c r="E83" s="172">
        <f>+E20</f>
        <v>346777.61806013767</v>
      </c>
      <c r="F83" s="172">
        <f>+F20</f>
        <v>383111.80062055867</v>
      </c>
      <c r="G83" s="197">
        <f>AVERAGE(D83:F83)</f>
        <v>355976.74436118727</v>
      </c>
      <c r="H83" s="152"/>
      <c r="I83" s="153"/>
      <c r="J83" s="198" t="str">
        <f>+J20</f>
        <v>Total Variable Costs</v>
      </c>
      <c r="K83" s="172">
        <f>+K20</f>
        <v>310000</v>
      </c>
      <c r="L83" s="172">
        <f>+L20</f>
        <v>347476.7736486487</v>
      </c>
      <c r="M83" s="172">
        <f>+M20</f>
        <v>354778.82179054053</v>
      </c>
      <c r="N83" s="172">
        <f>+N20</f>
        <v>393592.1777748962</v>
      </c>
      <c r="O83" s="197">
        <f>AVERAGE(L83:N83)</f>
        <v>365282.59107136185</v>
      </c>
      <c r="P83" s="152"/>
      <c r="Q83" s="198" t="str">
        <f>+Q20</f>
        <v>Total Variable Costs</v>
      </c>
      <c r="R83" s="172">
        <f>+R20</f>
        <v>310000</v>
      </c>
      <c r="S83" s="172">
        <f>+S20</f>
        <v>328744.8721042471</v>
      </c>
      <c r="T83" s="172">
        <f>+T20</f>
        <v>338829.55779440154</v>
      </c>
      <c r="U83" s="172">
        <f>+U20</f>
        <v>372755.6016203558</v>
      </c>
      <c r="V83" s="197">
        <f>AVERAGE(S83:U83)</f>
        <v>346776.67717300146</v>
      </c>
      <c r="W83" s="53"/>
    </row>
    <row r="84" spans="1:23" x14ac:dyDescent="0.2">
      <c r="A84" s="18"/>
      <c r="B84" s="198" t="str">
        <f>+B38</f>
        <v>Total Fixed Costs</v>
      </c>
      <c r="C84" s="172">
        <f>+C38</f>
        <v>130000</v>
      </c>
      <c r="D84" s="172">
        <f>+D38</f>
        <v>133944.17475728155</v>
      </c>
      <c r="E84" s="172">
        <f>+E38</f>
        <v>135766.38349514565</v>
      </c>
      <c r="F84" s="172">
        <f>+F38</f>
        <v>136645.19080828209</v>
      </c>
      <c r="G84" s="197">
        <f>AVERAGE(D84:F84)</f>
        <v>135451.91635356974</v>
      </c>
      <c r="H84" s="152"/>
      <c r="I84" s="153"/>
      <c r="J84" s="198" t="str">
        <f>+J38</f>
        <v>Total Fixed Costs</v>
      </c>
      <c r="K84" s="172">
        <f>+K38</f>
        <v>130000</v>
      </c>
      <c r="L84" s="172">
        <f>+L38</f>
        <v>135179.6875</v>
      </c>
      <c r="M84" s="172">
        <f>+M38</f>
        <v>137068.78479003906</v>
      </c>
      <c r="N84" s="172">
        <f>+N38</f>
        <v>137022.53163487557</v>
      </c>
      <c r="O84" s="197">
        <f>AVERAGE(L84:N84)</f>
        <v>136423.66797497155</v>
      </c>
      <c r="P84" s="152"/>
      <c r="Q84" s="198" t="str">
        <f>+Q38</f>
        <v>Total Fixed Costs</v>
      </c>
      <c r="R84" s="172">
        <f>+R38</f>
        <v>130000</v>
      </c>
      <c r="S84" s="172">
        <f>+S38</f>
        <v>132735.52123552124</v>
      </c>
      <c r="T84" s="172">
        <f>+T38</f>
        <v>134510.57033411364</v>
      </c>
      <c r="U84" s="172">
        <f>+U38</f>
        <v>136353.32162619143</v>
      </c>
      <c r="V84" s="197">
        <f>AVERAGE(S84:U84)</f>
        <v>134533.13773194209</v>
      </c>
      <c r="W84" s="53"/>
    </row>
    <row r="85" spans="1:23" x14ac:dyDescent="0.2">
      <c r="A85" s="18"/>
      <c r="B85" s="198"/>
      <c r="C85" s="172"/>
      <c r="D85" s="172"/>
      <c r="E85" s="172"/>
      <c r="F85" s="172"/>
      <c r="G85" s="199"/>
      <c r="H85" s="152"/>
      <c r="I85" s="153"/>
      <c r="J85" s="198"/>
      <c r="K85" s="172"/>
      <c r="L85" s="172"/>
      <c r="M85" s="172"/>
      <c r="N85" s="172"/>
      <c r="O85" s="199"/>
      <c r="P85" s="152"/>
      <c r="Q85" s="198"/>
      <c r="R85" s="172"/>
      <c r="S85" s="172"/>
      <c r="T85" s="172"/>
      <c r="U85" s="172"/>
      <c r="V85" s="199"/>
      <c r="W85" s="53"/>
    </row>
    <row r="86" spans="1:23" x14ac:dyDescent="0.2">
      <c r="A86" s="18"/>
      <c r="B86" s="198" t="str">
        <f>+B43</f>
        <v>Operating Surplus</v>
      </c>
      <c r="C86" s="172">
        <f>+C43</f>
        <v>60000</v>
      </c>
      <c r="D86" s="172">
        <f>+D43</f>
        <v>88694.622490338515</v>
      </c>
      <c r="E86" s="172">
        <f>+E43</f>
        <v>106169.59067772643</v>
      </c>
      <c r="F86" s="172">
        <f>+F43</f>
        <v>105371.87455054082</v>
      </c>
      <c r="G86" s="197">
        <f>AVERAGE(D86:F86)</f>
        <v>100078.69590620192</v>
      </c>
      <c r="H86" s="152"/>
      <c r="I86" s="153"/>
      <c r="J86" s="198" t="str">
        <f>+J43</f>
        <v>Operating Surplus</v>
      </c>
      <c r="K86" s="172">
        <f>+K43</f>
        <v>60000</v>
      </c>
      <c r="L86" s="172">
        <f>+L43</f>
        <v>97031.038851351303</v>
      </c>
      <c r="M86" s="172">
        <f>+M43</f>
        <v>122621.1434194204</v>
      </c>
      <c r="N86" s="172">
        <f>+N43</f>
        <v>129747.972125498</v>
      </c>
      <c r="O86" s="197">
        <f>AVERAGE(L86:N86)</f>
        <v>116466.7181320899</v>
      </c>
      <c r="P86" s="152"/>
      <c r="Q86" s="198" t="str">
        <f>+Q43</f>
        <v>Operating Surplus</v>
      </c>
      <c r="R86" s="172">
        <f>+R43</f>
        <v>60000</v>
      </c>
      <c r="S86" s="172">
        <f>+S43</f>
        <v>80604.54874517367</v>
      </c>
      <c r="T86" s="172">
        <f>+T43</f>
        <v>90428.211639824556</v>
      </c>
      <c r="U86" s="172">
        <f>+U43</f>
        <v>82385.728313678061</v>
      </c>
      <c r="V86" s="197">
        <f>AVERAGE(S86:U86)</f>
        <v>84472.829566225424</v>
      </c>
      <c r="W86" s="53"/>
    </row>
    <row r="87" spans="1:23" x14ac:dyDescent="0.2">
      <c r="A87" s="18"/>
      <c r="B87" s="171" t="s">
        <v>143</v>
      </c>
      <c r="C87" s="173">
        <f>+C86/C$82</f>
        <v>0.12</v>
      </c>
      <c r="D87" s="200">
        <f>+D86/D$82</f>
        <v>0.15819127474467304</v>
      </c>
      <c r="E87" s="200">
        <f>+E86/E$82</f>
        <v>0.18034166711697913</v>
      </c>
      <c r="F87" s="200">
        <f>+F86/F$82</f>
        <v>0.16856024459125882</v>
      </c>
      <c r="G87" s="200">
        <f>+G86/G$82</f>
        <v>0.16919264787831351</v>
      </c>
      <c r="H87" s="152"/>
      <c r="I87" s="153"/>
      <c r="J87" s="171" t="s">
        <v>143</v>
      </c>
      <c r="K87" s="173">
        <f>+K86/K$82</f>
        <v>0.12</v>
      </c>
      <c r="L87" s="200">
        <f>+L86/L$82</f>
        <v>0.16738508049828796</v>
      </c>
      <c r="M87" s="200">
        <f>+M86/M$82</f>
        <v>0.19955635403658917</v>
      </c>
      <c r="N87" s="200">
        <f>+N86/N$82</f>
        <v>0.19647986743261808</v>
      </c>
      <c r="O87" s="200">
        <f>+O86/O$82</f>
        <v>0.1884047385307723</v>
      </c>
      <c r="P87" s="152"/>
      <c r="Q87" s="171" t="s">
        <v>143</v>
      </c>
      <c r="R87" s="173">
        <f>+R86/R$82</f>
        <v>0.12</v>
      </c>
      <c r="S87" s="200">
        <f>+S86/S$82</f>
        <v>0.14869357638888878</v>
      </c>
      <c r="T87" s="200">
        <f>+T86/T$82</f>
        <v>0.16039959192632697</v>
      </c>
      <c r="U87" s="200">
        <f>+U86/U$82</f>
        <v>0.13928397847108789</v>
      </c>
      <c r="V87" s="200">
        <f>+V86/V$82</f>
        <v>0.14930261716525656</v>
      </c>
      <c r="W87" s="53"/>
    </row>
    <row r="88" spans="1:23" x14ac:dyDescent="0.2">
      <c r="A88" s="18"/>
      <c r="B88" s="201" t="s">
        <v>144</v>
      </c>
      <c r="C88" s="196"/>
      <c r="D88" s="202"/>
      <c r="E88" s="196"/>
      <c r="F88" s="196"/>
      <c r="G88" s="199"/>
      <c r="H88" s="152"/>
      <c r="I88" s="153"/>
      <c r="J88" s="201" t="s">
        <v>144</v>
      </c>
      <c r="K88" s="196"/>
      <c r="L88" s="202"/>
      <c r="M88" s="196"/>
      <c r="N88" s="196"/>
      <c r="O88" s="199"/>
      <c r="P88" s="152"/>
      <c r="Q88" s="201" t="s">
        <v>144</v>
      </c>
      <c r="R88" s="196"/>
      <c r="S88" s="202"/>
      <c r="T88" s="196"/>
      <c r="U88" s="196"/>
      <c r="V88" s="199"/>
      <c r="W88" s="53"/>
    </row>
    <row r="89" spans="1:23" x14ac:dyDescent="0.2">
      <c r="A89" s="18"/>
      <c r="B89" s="198" t="s">
        <v>96</v>
      </c>
      <c r="C89" s="196">
        <f>+D77/D78</f>
        <v>12500</v>
      </c>
      <c r="D89" s="196">
        <f>$C89+$C89*(D$5-$C$5)/$C$5*$C$63</f>
        <v>12879.247572815533</v>
      </c>
      <c r="E89" s="196">
        <f>$C89+$C89*(E$5-$C$5)/$C$5*$C$63</f>
        <v>13054.459951456311</v>
      </c>
      <c r="F89" s="196">
        <f>$C89+$C89*(F$5-$C$5)/$C$5*$C$63</f>
        <v>13282.055412371135</v>
      </c>
      <c r="G89" s="197">
        <f>AVERAGE(D89:F89)</f>
        <v>13071.920978880991</v>
      </c>
      <c r="H89" s="152"/>
      <c r="I89" s="153"/>
      <c r="J89" s="198" t="str">
        <f>+B89</f>
        <v>Depreciation Allowance</v>
      </c>
      <c r="K89" s="196">
        <f>+L77/L78</f>
        <v>12500</v>
      </c>
      <c r="L89" s="196">
        <f>$C89+$C89*(L$5-$C$5)/$C$5*$C$63</f>
        <v>12998.046875</v>
      </c>
      <c r="M89" s="196">
        <f>$C89+$C89*(M$5-$C$5)/$C$5*$C$63</f>
        <v>13215.4296875</v>
      </c>
      <c r="N89" s="196">
        <f>$C89+$C89*(N$5-$C$5)/$C$5*$C$63</f>
        <v>13502.266759595435</v>
      </c>
      <c r="O89" s="197">
        <f>AVERAGE(L89:N89)</f>
        <v>13238.581107365144</v>
      </c>
      <c r="P89" s="152"/>
      <c r="Q89" s="198" t="str">
        <f>+B89</f>
        <v>Depreciation Allowance</v>
      </c>
      <c r="R89" s="196">
        <f>+S77/S78</f>
        <v>12500</v>
      </c>
      <c r="S89" s="196">
        <f>$C89+$C89*(S$5-$C$5)/$C$5*$C$63</f>
        <v>12763.030888030888</v>
      </c>
      <c r="T89" s="196">
        <f>$C89+$C89*(T$5-$C$5)/$C$5*$C$63</f>
        <v>12898.552123552123</v>
      </c>
      <c r="U89" s="196">
        <f>$C89+$C89*(U$5-$C$5)/$C$5*$C$63</f>
        <v>13071.841572251407</v>
      </c>
      <c r="V89" s="197">
        <f>AVERAGE(S89:U89)</f>
        <v>12911.141527944807</v>
      </c>
      <c r="W89" s="53"/>
    </row>
    <row r="90" spans="1:23" x14ac:dyDescent="0.2">
      <c r="A90" s="18"/>
      <c r="B90" s="171" t="s">
        <v>145</v>
      </c>
      <c r="C90" s="203">
        <f>+C86-C89</f>
        <v>47500</v>
      </c>
      <c r="D90" s="203">
        <f>+D86-D89</f>
        <v>75815.374917522975</v>
      </c>
      <c r="E90" s="203">
        <f>+E86-E89</f>
        <v>93115.130726270116</v>
      </c>
      <c r="F90" s="203">
        <f>+F86-F89</f>
        <v>92089.819138169682</v>
      </c>
      <c r="G90" s="203">
        <f>AVERAGE(D90:F90)</f>
        <v>87006.774927320934</v>
      </c>
      <c r="H90" s="152"/>
      <c r="I90" s="153"/>
      <c r="J90" s="171" t="str">
        <f>+B90</f>
        <v>Business Return</v>
      </c>
      <c r="K90" s="203">
        <f>+K86-K89</f>
        <v>47500</v>
      </c>
      <c r="L90" s="203">
        <f>+L86-L89</f>
        <v>84032.991976351303</v>
      </c>
      <c r="M90" s="203">
        <f>+M86-M89</f>
        <v>109405.7137319204</v>
      </c>
      <c r="N90" s="203">
        <f>+N86-N89</f>
        <v>116245.70536590256</v>
      </c>
      <c r="O90" s="203">
        <f>AVERAGE(L90:N90)</f>
        <v>103228.13702472475</v>
      </c>
      <c r="P90" s="152"/>
      <c r="Q90" s="171" t="str">
        <f>+B90</f>
        <v>Business Return</v>
      </c>
      <c r="R90" s="203">
        <f>+R86-R89</f>
        <v>47500</v>
      </c>
      <c r="S90" s="203">
        <f>+S86-S89</f>
        <v>67841.517857142782</v>
      </c>
      <c r="T90" s="203">
        <f>+T86-T89</f>
        <v>77529.659516272426</v>
      </c>
      <c r="U90" s="203">
        <f>+U86-U89</f>
        <v>69313.886741426657</v>
      </c>
      <c r="V90" s="203">
        <f>AVERAGE(S90:U90)</f>
        <v>71561.688038280627</v>
      </c>
      <c r="W90" s="53"/>
    </row>
    <row r="91" spans="1:23" x14ac:dyDescent="0.2">
      <c r="A91" s="18"/>
      <c r="B91" s="175" t="s">
        <v>95</v>
      </c>
      <c r="C91" s="294">
        <f>+C90/C82</f>
        <v>9.5000000000000001E-2</v>
      </c>
      <c r="D91" s="295">
        <f>+D90/D82</f>
        <v>0.13522049552389379</v>
      </c>
      <c r="E91" s="295">
        <f>+E90/E82</f>
        <v>0.15816711547814177</v>
      </c>
      <c r="F91" s="295">
        <f>+F90/F82</f>
        <v>0.14731333673720812</v>
      </c>
      <c r="G91" s="294">
        <f>+G90/G82</f>
        <v>0.14709330991985506</v>
      </c>
      <c r="H91" s="153"/>
      <c r="I91" s="153"/>
      <c r="J91" s="175" t="str">
        <f>+B91</f>
        <v>Return on Sales</v>
      </c>
      <c r="K91" s="294">
        <f>+K90/K82</f>
        <v>9.5000000000000001E-2</v>
      </c>
      <c r="L91" s="295">
        <f>+L90/L82</f>
        <v>0.14496257375974347</v>
      </c>
      <c r="M91" s="295">
        <f>+M90/M82</f>
        <v>0.17804927220777364</v>
      </c>
      <c r="N91" s="295">
        <f>+N90/N82</f>
        <v>0.17603312333707929</v>
      </c>
      <c r="O91" s="294">
        <f>+O90/O82</f>
        <v>0.16698908046077535</v>
      </c>
      <c r="P91" s="153"/>
      <c r="Q91" s="175" t="str">
        <f>+B91</f>
        <v>Return on Sales</v>
      </c>
      <c r="R91" s="294">
        <f>+R90/R82</f>
        <v>9.5000000000000001E-2</v>
      </c>
      <c r="S91" s="295">
        <f>+S90/S82</f>
        <v>0.12514923878205117</v>
      </c>
      <c r="T91" s="295">
        <f>+T90/T82</f>
        <v>0.13752042115052157</v>
      </c>
      <c r="U91" s="295">
        <f>+U90/U82</f>
        <v>0.1171843000753984</v>
      </c>
      <c r="V91" s="294">
        <f>+V90/V82</f>
        <v>0.12648264971996193</v>
      </c>
      <c r="W91" s="3"/>
    </row>
    <row r="92" spans="1:23" x14ac:dyDescent="0.2">
      <c r="A92" s="18"/>
      <c r="B92" s="205"/>
      <c r="C92" s="206"/>
      <c r="D92" s="207"/>
      <c r="E92" s="207"/>
      <c r="F92" s="207"/>
      <c r="G92" s="207"/>
      <c r="H92" s="153"/>
      <c r="I92" s="153"/>
      <c r="J92" s="205"/>
      <c r="K92" s="206"/>
      <c r="L92" s="207"/>
      <c r="M92" s="207"/>
      <c r="N92" s="207"/>
      <c r="O92" s="207"/>
      <c r="P92" s="153"/>
      <c r="Q92" s="205"/>
      <c r="R92" s="206"/>
      <c r="S92" s="207"/>
      <c r="T92" s="207"/>
      <c r="U92" s="207"/>
      <c r="V92" s="207"/>
      <c r="W92" s="3"/>
    </row>
    <row r="93" spans="1:23" x14ac:dyDescent="0.2">
      <c r="A93" s="3"/>
      <c r="B93" s="153"/>
      <c r="C93" s="153"/>
      <c r="D93" s="153"/>
      <c r="E93" s="153"/>
      <c r="F93" s="153"/>
      <c r="G93" s="153"/>
      <c r="H93" s="153"/>
      <c r="I93" s="153"/>
      <c r="J93" s="153"/>
      <c r="K93" s="153"/>
      <c r="L93" s="153"/>
      <c r="M93" s="153"/>
      <c r="N93" s="153"/>
      <c r="O93" s="153"/>
      <c r="P93" s="153"/>
      <c r="Q93" s="153"/>
      <c r="R93" s="153"/>
      <c r="S93" s="3"/>
      <c r="T93" s="3"/>
      <c r="U93" s="3"/>
      <c r="V93" s="3"/>
      <c r="W93" s="3"/>
    </row>
    <row r="94" spans="1:23" x14ac:dyDescent="0.2">
      <c r="A94" s="3"/>
      <c r="B94" s="153"/>
      <c r="C94" s="153"/>
      <c r="D94" s="153"/>
      <c r="E94" s="153"/>
      <c r="F94" s="153"/>
      <c r="G94" s="153"/>
      <c r="H94" s="153"/>
      <c r="I94" s="153"/>
      <c r="J94" s="153"/>
      <c r="K94" s="153"/>
      <c r="L94" s="153"/>
      <c r="M94" s="153"/>
      <c r="N94" s="153"/>
      <c r="O94" s="153"/>
      <c r="P94" s="153"/>
      <c r="Q94" s="153"/>
      <c r="R94" s="153"/>
      <c r="S94" s="3"/>
      <c r="T94" s="3"/>
      <c r="U94" s="3"/>
      <c r="V94" s="3"/>
      <c r="W94" s="3"/>
    </row>
    <row r="95" spans="1:23" x14ac:dyDescent="0.2">
      <c r="A95" s="3"/>
      <c r="B95" s="3"/>
      <c r="C95" s="3"/>
      <c r="D95" s="3"/>
      <c r="E95" s="3"/>
      <c r="F95" s="3"/>
      <c r="G95" s="3"/>
      <c r="H95" s="3"/>
      <c r="I95" s="3"/>
      <c r="J95" s="3"/>
      <c r="K95" s="3"/>
      <c r="L95" s="3"/>
      <c r="M95" s="3"/>
      <c r="N95" s="3"/>
      <c r="O95" s="3"/>
      <c r="P95" s="3"/>
      <c r="Q95" s="3"/>
      <c r="R95" s="3"/>
      <c r="S95" s="3"/>
      <c r="T95" s="3"/>
      <c r="U95" s="3"/>
      <c r="V95" s="3"/>
      <c r="W95" s="3"/>
    </row>
    <row r="96" spans="1:23" x14ac:dyDescent="0.2">
      <c r="A96" s="3"/>
      <c r="B96" s="3"/>
      <c r="C96" s="3"/>
      <c r="D96" s="3"/>
      <c r="E96" s="3"/>
      <c r="F96" s="3"/>
      <c r="G96" s="3"/>
      <c r="H96" s="3"/>
      <c r="I96" s="3"/>
      <c r="J96" s="3"/>
      <c r="K96" s="3"/>
      <c r="L96" s="3"/>
      <c r="M96" s="3"/>
      <c r="N96" s="3"/>
      <c r="O96" s="3"/>
      <c r="P96" s="3"/>
      <c r="Q96" s="3"/>
      <c r="R96" s="3"/>
      <c r="S96" s="3"/>
      <c r="T96" s="3"/>
      <c r="U96" s="3"/>
      <c r="V96" s="3"/>
      <c r="W96" s="3"/>
    </row>
    <row r="97" spans="1:23" x14ac:dyDescent="0.2">
      <c r="A97" s="3"/>
      <c r="B97" s="3"/>
      <c r="C97" s="3"/>
      <c r="D97" s="3"/>
      <c r="E97" s="3"/>
      <c r="F97" s="3"/>
      <c r="G97" s="3"/>
      <c r="H97" s="3"/>
      <c r="I97" s="3"/>
      <c r="J97" s="3"/>
      <c r="K97" s="3"/>
      <c r="L97" s="3"/>
      <c r="M97" s="3"/>
      <c r="N97" s="3"/>
      <c r="O97" s="3"/>
      <c r="P97" s="3"/>
      <c r="Q97" s="3"/>
      <c r="R97" s="3"/>
      <c r="S97" s="3"/>
      <c r="T97" s="3"/>
      <c r="U97" s="3"/>
      <c r="V97" s="3"/>
      <c r="W97" s="3"/>
    </row>
    <row r="98" spans="1:23" x14ac:dyDescent="0.2">
      <c r="A98" s="3"/>
      <c r="B98" s="3"/>
      <c r="C98" s="3"/>
      <c r="D98" s="3"/>
      <c r="E98" s="3"/>
      <c r="F98" s="3"/>
      <c r="G98" s="3"/>
      <c r="H98" s="3"/>
      <c r="I98" s="3"/>
      <c r="J98" s="3"/>
      <c r="K98" s="3"/>
      <c r="L98" s="3"/>
      <c r="M98" s="3"/>
      <c r="N98" s="3"/>
      <c r="O98" s="3"/>
      <c r="P98" s="3"/>
      <c r="Q98" s="3"/>
      <c r="R98" s="3"/>
      <c r="S98" s="3"/>
      <c r="T98" s="3"/>
      <c r="U98" s="3"/>
      <c r="V98" s="3"/>
      <c r="W98" s="3"/>
    </row>
  </sheetData>
  <sheetProtection algorithmName="SHA-512" hashValue="tOzIBETT10rpfbbKyUq816bG7ApDv/QL+DxbMWQbXpwrdAPJG3F12hiQaAzZfkcMVmN6AwyPBNmdfjrq6EFzwQ==" saltValue="TARiQ9dVrYmsadGo7iqD+A==" spinCount="100000" sheet="1" formatCells="0" formatColumns="0" formatRows="0"/>
  <mergeCells count="9">
    <mergeCell ref="Q52:U52"/>
    <mergeCell ref="Q53:T53"/>
    <mergeCell ref="Q72:S72"/>
    <mergeCell ref="B53:E53"/>
    <mergeCell ref="B52:F52"/>
    <mergeCell ref="B72:D72"/>
    <mergeCell ref="J52:N52"/>
    <mergeCell ref="J53:M53"/>
    <mergeCell ref="J72:L72"/>
  </mergeCells>
  <phoneticPr fontId="0" type="noConversion"/>
  <pageMargins left="0.75" right="0.75" top="1" bottom="1" header="0.5" footer="0.5"/>
  <pageSetup orientation="portrait" horizontalDpi="360" verticalDpi="0" copies="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EBAD8-1A60-4D37-89DF-897EDB9359D7}">
  <sheetPr codeName="Sheet4"/>
  <dimension ref="B41:J107"/>
  <sheetViews>
    <sheetView showGridLines="0" workbookViewId="0"/>
  </sheetViews>
  <sheetFormatPr defaultRowHeight="11.25" x14ac:dyDescent="0.2"/>
  <cols>
    <col min="1" max="1" width="9.140625" style="457"/>
    <col min="2" max="2" width="17" style="457" bestFit="1" customWidth="1"/>
    <col min="3" max="3" width="18" style="457" customWidth="1"/>
    <col min="4" max="9" width="9.140625" style="457"/>
    <col min="10" max="10" width="18.140625" style="457" customWidth="1"/>
    <col min="11" max="16384" width="9.140625" style="457"/>
  </cols>
  <sheetData>
    <row r="41" spans="2:5" x14ac:dyDescent="0.2">
      <c r="E41" s="458">
        <f>SUM(E42:E46)</f>
        <v>298</v>
      </c>
    </row>
    <row r="42" spans="2:5" x14ac:dyDescent="0.2">
      <c r="B42" s="459">
        <f>1</f>
        <v>1</v>
      </c>
      <c r="C42" s="459" t="s">
        <v>222</v>
      </c>
      <c r="D42" s="459">
        <f>IFERROR(CODE(C42),0)</f>
        <v>102</v>
      </c>
      <c r="E42" s="459">
        <f>B42*D42</f>
        <v>102</v>
      </c>
    </row>
    <row r="43" spans="2:5" x14ac:dyDescent="0.2">
      <c r="B43" s="459">
        <f t="shared" ref="B43:B46" si="0">B42+1</f>
        <v>2</v>
      </c>
      <c r="C43" s="459" t="s">
        <v>223</v>
      </c>
      <c r="D43" s="459">
        <f t="shared" ref="D43:D46" si="1">IFERROR(CODE(C43),0)</f>
        <v>98</v>
      </c>
      <c r="E43" s="459">
        <f t="shared" ref="E43:E46" si="2">B43*D43</f>
        <v>196</v>
      </c>
    </row>
    <row r="44" spans="2:5" x14ac:dyDescent="0.2">
      <c r="B44" s="459">
        <f t="shared" si="0"/>
        <v>3</v>
      </c>
      <c r="C44" s="459"/>
      <c r="D44" s="459">
        <f t="shared" si="1"/>
        <v>0</v>
      </c>
      <c r="E44" s="459">
        <f t="shared" si="2"/>
        <v>0</v>
      </c>
    </row>
    <row r="45" spans="2:5" x14ac:dyDescent="0.2">
      <c r="B45" s="459">
        <f t="shared" si="0"/>
        <v>4</v>
      </c>
      <c r="C45" s="459"/>
      <c r="D45" s="459">
        <f t="shared" si="1"/>
        <v>0</v>
      </c>
      <c r="E45" s="459">
        <f t="shared" si="2"/>
        <v>0</v>
      </c>
    </row>
    <row r="46" spans="2:5" x14ac:dyDescent="0.2">
      <c r="B46" s="459">
        <f t="shared" si="0"/>
        <v>5</v>
      </c>
      <c r="C46" s="459"/>
      <c r="D46" s="459">
        <f t="shared" si="1"/>
        <v>0</v>
      </c>
      <c r="E46" s="459">
        <f t="shared" si="2"/>
        <v>0</v>
      </c>
    </row>
    <row r="50" spans="2:10" x14ac:dyDescent="0.2">
      <c r="B50" s="459" t="s">
        <v>194</v>
      </c>
    </row>
    <row r="52" spans="2:10" x14ac:dyDescent="0.2">
      <c r="B52" s="460" t="s">
        <v>195</v>
      </c>
      <c r="C52" s="460">
        <v>500000</v>
      </c>
      <c r="D52" s="460"/>
    </row>
    <row r="53" spans="2:10" x14ac:dyDescent="0.2">
      <c r="B53" s="459" t="b">
        <f>IFERROR(AND(ISTEXT(Welcome!C18),LEN(Welcome!C18)&gt;6),FALSE)</f>
        <v>0</v>
      </c>
      <c r="C53" s="460"/>
      <c r="D53" s="460" t="s">
        <v>196</v>
      </c>
    </row>
    <row r="54" spans="2:10" x14ac:dyDescent="0.2">
      <c r="B54" s="459" t="b">
        <f>IFERROR(AND(ISNUMBER(INT(Welcome!C19)),LEN(Welcome!C19)&gt;8),FALSE)</f>
        <v>0</v>
      </c>
      <c r="C54" s="461" t="b">
        <f>IFERROR(Welcome!C19/Scratch!E57/E41,FALSE)</f>
        <v>0</v>
      </c>
      <c r="D54" s="460" t="s">
        <v>197</v>
      </c>
      <c r="E54" s="457" t="s">
        <v>198</v>
      </c>
      <c r="H54" s="462"/>
    </row>
    <row r="55" spans="2:10" x14ac:dyDescent="0.2">
      <c r="B55" s="459" t="b">
        <f ca="1">IFERROR(AND(ISNUMBER(C54),LEN(C54)=8,TODAY()&lt;C55+7),FALSE)</f>
        <v>0</v>
      </c>
      <c r="C55" s="463" t="b">
        <f>IFERROR(DATE(MID(C54,1,4),MID(C54,5,2),MID(C54,7,2)),FALSE)</f>
        <v>0</v>
      </c>
      <c r="D55" s="460"/>
      <c r="E55" s="457" t="s">
        <v>199</v>
      </c>
      <c r="G55" s="457" t="s">
        <v>200</v>
      </c>
    </row>
    <row r="56" spans="2:10" ht="12.75" x14ac:dyDescent="0.2">
      <c r="C56" s="457">
        <f ca="1">IF(ISNUMBER(C55),IF(C55&gt;TODAY()+3650,2,IF(C55&gt;TODAY()-2,1,0)),0)</f>
        <v>0</v>
      </c>
      <c r="D56" s="457" t="s">
        <v>201</v>
      </c>
      <c r="E56" s="457" t="s">
        <v>202</v>
      </c>
      <c r="G56" s="464"/>
      <c r="J56" s="465">
        <f>I56*J57*E41</f>
        <v>0</v>
      </c>
    </row>
    <row r="57" spans="2:10" x14ac:dyDescent="0.2">
      <c r="B57" s="459"/>
      <c r="C57" s="466"/>
      <c r="D57" s="459"/>
      <c r="E57" s="458">
        <f>SUM(E58:E107)</f>
        <v>0</v>
      </c>
      <c r="G57" s="459"/>
      <c r="H57" s="466"/>
      <c r="I57" s="459"/>
      <c r="J57" s="458">
        <f>SUM(J58:J107)</f>
        <v>0</v>
      </c>
    </row>
    <row r="58" spans="2:10" x14ac:dyDescent="0.2">
      <c r="B58" s="459">
        <f>1</f>
        <v>1</v>
      </c>
      <c r="C58" s="459" t="str">
        <f>MID(Welcome!$C$18,B58,1)</f>
        <v/>
      </c>
      <c r="D58" s="459">
        <f t="shared" ref="D58:D107" si="3">IFERROR(CODE(C58),0)</f>
        <v>0</v>
      </c>
      <c r="E58" s="459">
        <f t="shared" ref="E58:E107" si="4">B58*D58</f>
        <v>0</v>
      </c>
      <c r="G58" s="459">
        <f>1</f>
        <v>1</v>
      </c>
      <c r="H58" s="459" t="str">
        <f>MID($G$56,G58,1)</f>
        <v/>
      </c>
      <c r="I58" s="459">
        <f t="shared" ref="I58:I107" si="5">IFERROR(CODE(H58),0)</f>
        <v>0</v>
      </c>
      <c r="J58" s="459">
        <f t="shared" ref="J58:J107" si="6">G58*I58</f>
        <v>0</v>
      </c>
    </row>
    <row r="59" spans="2:10" x14ac:dyDescent="0.2">
      <c r="B59" s="459">
        <f t="shared" ref="B59:B107" si="7">B58+1</f>
        <v>2</v>
      </c>
      <c r="C59" s="459" t="str">
        <f>MID(Welcome!$C$18,B59,1)</f>
        <v/>
      </c>
      <c r="D59" s="459">
        <f t="shared" si="3"/>
        <v>0</v>
      </c>
      <c r="E59" s="459">
        <f t="shared" si="4"/>
        <v>0</v>
      </c>
      <c r="G59" s="459">
        <f t="shared" ref="G59:G107" si="8">G58+1</f>
        <v>2</v>
      </c>
      <c r="H59" s="459" t="str">
        <f t="shared" ref="H59:H107" si="9">MID($G$56,G59,1)</f>
        <v/>
      </c>
      <c r="I59" s="459">
        <f t="shared" si="5"/>
        <v>0</v>
      </c>
      <c r="J59" s="459">
        <f t="shared" si="6"/>
        <v>0</v>
      </c>
    </row>
    <row r="60" spans="2:10" x14ac:dyDescent="0.2">
      <c r="B60" s="459">
        <f t="shared" si="7"/>
        <v>3</v>
      </c>
      <c r="C60" s="459" t="str">
        <f>MID(Welcome!$C$18,B60,1)</f>
        <v/>
      </c>
      <c r="D60" s="459">
        <f t="shared" si="3"/>
        <v>0</v>
      </c>
      <c r="E60" s="459">
        <f t="shared" si="4"/>
        <v>0</v>
      </c>
      <c r="G60" s="459">
        <f t="shared" si="8"/>
        <v>3</v>
      </c>
      <c r="H60" s="459" t="str">
        <f t="shared" si="9"/>
        <v/>
      </c>
      <c r="I60" s="459">
        <f t="shared" si="5"/>
        <v>0</v>
      </c>
      <c r="J60" s="459">
        <f t="shared" si="6"/>
        <v>0</v>
      </c>
    </row>
    <row r="61" spans="2:10" x14ac:dyDescent="0.2">
      <c r="B61" s="459">
        <f t="shared" si="7"/>
        <v>4</v>
      </c>
      <c r="C61" s="459" t="str">
        <f>MID(Welcome!$C$18,B61,1)</f>
        <v/>
      </c>
      <c r="D61" s="459">
        <f t="shared" si="3"/>
        <v>0</v>
      </c>
      <c r="E61" s="459">
        <f t="shared" si="4"/>
        <v>0</v>
      </c>
      <c r="G61" s="459">
        <f t="shared" si="8"/>
        <v>4</v>
      </c>
      <c r="H61" s="459" t="str">
        <f t="shared" si="9"/>
        <v/>
      </c>
      <c r="I61" s="459">
        <f t="shared" si="5"/>
        <v>0</v>
      </c>
      <c r="J61" s="459">
        <f t="shared" si="6"/>
        <v>0</v>
      </c>
    </row>
    <row r="62" spans="2:10" x14ac:dyDescent="0.2">
      <c r="B62" s="459">
        <f t="shared" si="7"/>
        <v>5</v>
      </c>
      <c r="C62" s="459" t="str">
        <f>MID(Welcome!$C$18,B62,1)</f>
        <v/>
      </c>
      <c r="D62" s="459">
        <f t="shared" si="3"/>
        <v>0</v>
      </c>
      <c r="E62" s="459">
        <f t="shared" si="4"/>
        <v>0</v>
      </c>
      <c r="G62" s="459">
        <f t="shared" si="8"/>
        <v>5</v>
      </c>
      <c r="H62" s="459" t="str">
        <f t="shared" si="9"/>
        <v/>
      </c>
      <c r="I62" s="459">
        <f t="shared" si="5"/>
        <v>0</v>
      </c>
      <c r="J62" s="459">
        <f t="shared" si="6"/>
        <v>0</v>
      </c>
    </row>
    <row r="63" spans="2:10" x14ac:dyDescent="0.2">
      <c r="B63" s="459">
        <f t="shared" si="7"/>
        <v>6</v>
      </c>
      <c r="C63" s="459" t="str">
        <f>MID(Welcome!$C$18,B63,1)</f>
        <v/>
      </c>
      <c r="D63" s="459">
        <f t="shared" si="3"/>
        <v>0</v>
      </c>
      <c r="E63" s="459">
        <f t="shared" si="4"/>
        <v>0</v>
      </c>
      <c r="G63" s="459">
        <f t="shared" si="8"/>
        <v>6</v>
      </c>
      <c r="H63" s="459" t="str">
        <f t="shared" si="9"/>
        <v/>
      </c>
      <c r="I63" s="459">
        <f t="shared" si="5"/>
        <v>0</v>
      </c>
      <c r="J63" s="459">
        <f t="shared" si="6"/>
        <v>0</v>
      </c>
    </row>
    <row r="64" spans="2:10" x14ac:dyDescent="0.2">
      <c r="B64" s="459">
        <f t="shared" si="7"/>
        <v>7</v>
      </c>
      <c r="C64" s="459" t="str">
        <f>MID(Welcome!$C$18,B64,1)</f>
        <v/>
      </c>
      <c r="D64" s="459">
        <f t="shared" si="3"/>
        <v>0</v>
      </c>
      <c r="E64" s="459">
        <f t="shared" si="4"/>
        <v>0</v>
      </c>
      <c r="G64" s="459">
        <f t="shared" si="8"/>
        <v>7</v>
      </c>
      <c r="H64" s="459" t="str">
        <f t="shared" si="9"/>
        <v/>
      </c>
      <c r="I64" s="459">
        <f t="shared" si="5"/>
        <v>0</v>
      </c>
      <c r="J64" s="459">
        <f t="shared" si="6"/>
        <v>0</v>
      </c>
    </row>
    <row r="65" spans="2:10" x14ac:dyDescent="0.2">
      <c r="B65" s="459">
        <f t="shared" si="7"/>
        <v>8</v>
      </c>
      <c r="C65" s="459" t="str">
        <f>MID(Welcome!$C$18,B65,1)</f>
        <v/>
      </c>
      <c r="D65" s="459">
        <f t="shared" si="3"/>
        <v>0</v>
      </c>
      <c r="E65" s="459">
        <f t="shared" si="4"/>
        <v>0</v>
      </c>
      <c r="G65" s="459">
        <f t="shared" si="8"/>
        <v>8</v>
      </c>
      <c r="H65" s="459" t="str">
        <f t="shared" si="9"/>
        <v/>
      </c>
      <c r="I65" s="459">
        <f t="shared" si="5"/>
        <v>0</v>
      </c>
      <c r="J65" s="459">
        <f t="shared" si="6"/>
        <v>0</v>
      </c>
    </row>
    <row r="66" spans="2:10" x14ac:dyDescent="0.2">
      <c r="B66" s="459">
        <f t="shared" si="7"/>
        <v>9</v>
      </c>
      <c r="C66" s="459" t="str">
        <f>MID(Welcome!$C$18,B66,1)</f>
        <v/>
      </c>
      <c r="D66" s="459">
        <f t="shared" si="3"/>
        <v>0</v>
      </c>
      <c r="E66" s="459">
        <f t="shared" si="4"/>
        <v>0</v>
      </c>
      <c r="G66" s="459">
        <f t="shared" si="8"/>
        <v>9</v>
      </c>
      <c r="H66" s="459" t="str">
        <f t="shared" si="9"/>
        <v/>
      </c>
      <c r="I66" s="459">
        <f t="shared" si="5"/>
        <v>0</v>
      </c>
      <c r="J66" s="459">
        <f t="shared" si="6"/>
        <v>0</v>
      </c>
    </row>
    <row r="67" spans="2:10" x14ac:dyDescent="0.2">
      <c r="B67" s="459">
        <f t="shared" si="7"/>
        <v>10</v>
      </c>
      <c r="C67" s="459" t="str">
        <f>MID(Welcome!$C$18,B67,1)</f>
        <v/>
      </c>
      <c r="D67" s="459">
        <f t="shared" si="3"/>
        <v>0</v>
      </c>
      <c r="E67" s="459">
        <f t="shared" si="4"/>
        <v>0</v>
      </c>
      <c r="G67" s="459">
        <f t="shared" si="8"/>
        <v>10</v>
      </c>
      <c r="H67" s="459" t="str">
        <f t="shared" si="9"/>
        <v/>
      </c>
      <c r="I67" s="459">
        <f t="shared" si="5"/>
        <v>0</v>
      </c>
      <c r="J67" s="459">
        <f t="shared" si="6"/>
        <v>0</v>
      </c>
    </row>
    <row r="68" spans="2:10" x14ac:dyDescent="0.2">
      <c r="B68" s="459">
        <f t="shared" si="7"/>
        <v>11</v>
      </c>
      <c r="C68" s="459" t="str">
        <f>MID(Welcome!$C$18,B68,1)</f>
        <v/>
      </c>
      <c r="D68" s="459">
        <f t="shared" si="3"/>
        <v>0</v>
      </c>
      <c r="E68" s="459">
        <f t="shared" si="4"/>
        <v>0</v>
      </c>
      <c r="G68" s="459">
        <f t="shared" si="8"/>
        <v>11</v>
      </c>
      <c r="H68" s="459" t="str">
        <f t="shared" si="9"/>
        <v/>
      </c>
      <c r="I68" s="459">
        <f t="shared" si="5"/>
        <v>0</v>
      </c>
      <c r="J68" s="459">
        <f t="shared" si="6"/>
        <v>0</v>
      </c>
    </row>
    <row r="69" spans="2:10" x14ac:dyDescent="0.2">
      <c r="B69" s="459">
        <f t="shared" si="7"/>
        <v>12</v>
      </c>
      <c r="C69" s="459" t="str">
        <f>MID(Welcome!$C$18,B69,1)</f>
        <v/>
      </c>
      <c r="D69" s="459">
        <f t="shared" si="3"/>
        <v>0</v>
      </c>
      <c r="E69" s="459">
        <f t="shared" si="4"/>
        <v>0</v>
      </c>
      <c r="G69" s="459">
        <f t="shared" si="8"/>
        <v>12</v>
      </c>
      <c r="H69" s="459" t="str">
        <f t="shared" si="9"/>
        <v/>
      </c>
      <c r="I69" s="459">
        <f t="shared" si="5"/>
        <v>0</v>
      </c>
      <c r="J69" s="459">
        <f t="shared" si="6"/>
        <v>0</v>
      </c>
    </row>
    <row r="70" spans="2:10" x14ac:dyDescent="0.2">
      <c r="B70" s="459">
        <f t="shared" si="7"/>
        <v>13</v>
      </c>
      <c r="C70" s="459" t="str">
        <f>MID(Welcome!$C$18,B70,1)</f>
        <v/>
      </c>
      <c r="D70" s="459">
        <f t="shared" si="3"/>
        <v>0</v>
      </c>
      <c r="E70" s="459">
        <f t="shared" si="4"/>
        <v>0</v>
      </c>
      <c r="G70" s="459">
        <f t="shared" si="8"/>
        <v>13</v>
      </c>
      <c r="H70" s="459" t="str">
        <f t="shared" si="9"/>
        <v/>
      </c>
      <c r="I70" s="459">
        <f t="shared" si="5"/>
        <v>0</v>
      </c>
      <c r="J70" s="459">
        <f t="shared" si="6"/>
        <v>0</v>
      </c>
    </row>
    <row r="71" spans="2:10" x14ac:dyDescent="0.2">
      <c r="B71" s="459">
        <f t="shared" si="7"/>
        <v>14</v>
      </c>
      <c r="C71" s="459" t="str">
        <f>MID(Welcome!$C$18,B71,1)</f>
        <v/>
      </c>
      <c r="D71" s="459">
        <f t="shared" si="3"/>
        <v>0</v>
      </c>
      <c r="E71" s="459">
        <f t="shared" si="4"/>
        <v>0</v>
      </c>
      <c r="G71" s="459">
        <f t="shared" si="8"/>
        <v>14</v>
      </c>
      <c r="H71" s="459" t="str">
        <f t="shared" si="9"/>
        <v/>
      </c>
      <c r="I71" s="459">
        <f t="shared" si="5"/>
        <v>0</v>
      </c>
      <c r="J71" s="459">
        <f t="shared" si="6"/>
        <v>0</v>
      </c>
    </row>
    <row r="72" spans="2:10" x14ac:dyDescent="0.2">
      <c r="B72" s="459">
        <f t="shared" si="7"/>
        <v>15</v>
      </c>
      <c r="C72" s="459" t="str">
        <f>MID(Welcome!$C$18,B72,1)</f>
        <v/>
      </c>
      <c r="D72" s="459">
        <f t="shared" si="3"/>
        <v>0</v>
      </c>
      <c r="E72" s="459">
        <f t="shared" si="4"/>
        <v>0</v>
      </c>
      <c r="G72" s="459">
        <f t="shared" si="8"/>
        <v>15</v>
      </c>
      <c r="H72" s="459" t="str">
        <f t="shared" si="9"/>
        <v/>
      </c>
      <c r="I72" s="459">
        <f t="shared" si="5"/>
        <v>0</v>
      </c>
      <c r="J72" s="459">
        <f t="shared" si="6"/>
        <v>0</v>
      </c>
    </row>
    <row r="73" spans="2:10" x14ac:dyDescent="0.2">
      <c r="B73" s="459">
        <f t="shared" si="7"/>
        <v>16</v>
      </c>
      <c r="C73" s="459" t="str">
        <f>MID(Welcome!$C$18,B73,1)</f>
        <v/>
      </c>
      <c r="D73" s="459">
        <f t="shared" si="3"/>
        <v>0</v>
      </c>
      <c r="E73" s="459">
        <f t="shared" si="4"/>
        <v>0</v>
      </c>
      <c r="G73" s="459">
        <f t="shared" si="8"/>
        <v>16</v>
      </c>
      <c r="H73" s="459" t="str">
        <f t="shared" si="9"/>
        <v/>
      </c>
      <c r="I73" s="459">
        <f t="shared" si="5"/>
        <v>0</v>
      </c>
      <c r="J73" s="459">
        <f t="shared" si="6"/>
        <v>0</v>
      </c>
    </row>
    <row r="74" spans="2:10" x14ac:dyDescent="0.2">
      <c r="B74" s="459">
        <f t="shared" si="7"/>
        <v>17</v>
      </c>
      <c r="C74" s="459" t="str">
        <f>MID(Welcome!$C$18,B74,1)</f>
        <v/>
      </c>
      <c r="D74" s="459">
        <f t="shared" si="3"/>
        <v>0</v>
      </c>
      <c r="E74" s="459">
        <f t="shared" si="4"/>
        <v>0</v>
      </c>
      <c r="G74" s="459">
        <f t="shared" si="8"/>
        <v>17</v>
      </c>
      <c r="H74" s="459" t="str">
        <f t="shared" si="9"/>
        <v/>
      </c>
      <c r="I74" s="459">
        <f t="shared" si="5"/>
        <v>0</v>
      </c>
      <c r="J74" s="459">
        <f t="shared" si="6"/>
        <v>0</v>
      </c>
    </row>
    <row r="75" spans="2:10" x14ac:dyDescent="0.2">
      <c r="B75" s="459">
        <f t="shared" si="7"/>
        <v>18</v>
      </c>
      <c r="C75" s="459" t="str">
        <f>MID(Welcome!$C$18,B75,1)</f>
        <v/>
      </c>
      <c r="D75" s="459">
        <f t="shared" si="3"/>
        <v>0</v>
      </c>
      <c r="E75" s="459">
        <f t="shared" si="4"/>
        <v>0</v>
      </c>
      <c r="G75" s="459">
        <f t="shared" si="8"/>
        <v>18</v>
      </c>
      <c r="H75" s="459" t="str">
        <f t="shared" si="9"/>
        <v/>
      </c>
      <c r="I75" s="459">
        <f t="shared" si="5"/>
        <v>0</v>
      </c>
      <c r="J75" s="459">
        <f t="shared" si="6"/>
        <v>0</v>
      </c>
    </row>
    <row r="76" spans="2:10" x14ac:dyDescent="0.2">
      <c r="B76" s="459">
        <f t="shared" si="7"/>
        <v>19</v>
      </c>
      <c r="C76" s="459" t="str">
        <f>MID(Welcome!$C$18,B76,1)</f>
        <v/>
      </c>
      <c r="D76" s="459">
        <f t="shared" si="3"/>
        <v>0</v>
      </c>
      <c r="E76" s="459">
        <f t="shared" si="4"/>
        <v>0</v>
      </c>
      <c r="G76" s="459">
        <f t="shared" si="8"/>
        <v>19</v>
      </c>
      <c r="H76" s="459" t="str">
        <f t="shared" si="9"/>
        <v/>
      </c>
      <c r="I76" s="459">
        <f t="shared" si="5"/>
        <v>0</v>
      </c>
      <c r="J76" s="459">
        <f t="shared" si="6"/>
        <v>0</v>
      </c>
    </row>
    <row r="77" spans="2:10" x14ac:dyDescent="0.2">
      <c r="B77" s="459">
        <f t="shared" si="7"/>
        <v>20</v>
      </c>
      <c r="C77" s="459" t="str">
        <f>MID(Welcome!$C$18,B77,1)</f>
        <v/>
      </c>
      <c r="D77" s="459">
        <f t="shared" si="3"/>
        <v>0</v>
      </c>
      <c r="E77" s="459">
        <f t="shared" si="4"/>
        <v>0</v>
      </c>
      <c r="G77" s="459">
        <f t="shared" si="8"/>
        <v>20</v>
      </c>
      <c r="H77" s="459" t="str">
        <f t="shared" si="9"/>
        <v/>
      </c>
      <c r="I77" s="459">
        <f t="shared" si="5"/>
        <v>0</v>
      </c>
      <c r="J77" s="459">
        <f t="shared" si="6"/>
        <v>0</v>
      </c>
    </row>
    <row r="78" spans="2:10" x14ac:dyDescent="0.2">
      <c r="B78" s="459">
        <f t="shared" si="7"/>
        <v>21</v>
      </c>
      <c r="C78" s="459" t="str">
        <f>MID(Welcome!$C$18,B78,1)</f>
        <v/>
      </c>
      <c r="D78" s="459">
        <f t="shared" si="3"/>
        <v>0</v>
      </c>
      <c r="E78" s="459">
        <f t="shared" si="4"/>
        <v>0</v>
      </c>
      <c r="G78" s="459">
        <f t="shared" si="8"/>
        <v>21</v>
      </c>
      <c r="H78" s="459" t="str">
        <f t="shared" si="9"/>
        <v/>
      </c>
      <c r="I78" s="459">
        <f t="shared" si="5"/>
        <v>0</v>
      </c>
      <c r="J78" s="459">
        <f t="shared" si="6"/>
        <v>0</v>
      </c>
    </row>
    <row r="79" spans="2:10" x14ac:dyDescent="0.2">
      <c r="B79" s="459">
        <f t="shared" si="7"/>
        <v>22</v>
      </c>
      <c r="C79" s="459" t="str">
        <f>MID(Welcome!$C$18,B79,1)</f>
        <v/>
      </c>
      <c r="D79" s="459">
        <f t="shared" si="3"/>
        <v>0</v>
      </c>
      <c r="E79" s="459">
        <f t="shared" si="4"/>
        <v>0</v>
      </c>
      <c r="G79" s="459">
        <f t="shared" si="8"/>
        <v>22</v>
      </c>
      <c r="H79" s="459" t="str">
        <f t="shared" si="9"/>
        <v/>
      </c>
      <c r="I79" s="459">
        <f t="shared" si="5"/>
        <v>0</v>
      </c>
      <c r="J79" s="459">
        <f t="shared" si="6"/>
        <v>0</v>
      </c>
    </row>
    <row r="80" spans="2:10" x14ac:dyDescent="0.2">
      <c r="B80" s="459">
        <f t="shared" si="7"/>
        <v>23</v>
      </c>
      <c r="C80" s="459" t="str">
        <f>MID(Welcome!$C$18,B80,1)</f>
        <v/>
      </c>
      <c r="D80" s="459">
        <f t="shared" si="3"/>
        <v>0</v>
      </c>
      <c r="E80" s="459">
        <f t="shared" si="4"/>
        <v>0</v>
      </c>
      <c r="G80" s="459">
        <f t="shared" si="8"/>
        <v>23</v>
      </c>
      <c r="H80" s="459" t="str">
        <f t="shared" si="9"/>
        <v/>
      </c>
      <c r="I80" s="459">
        <f t="shared" si="5"/>
        <v>0</v>
      </c>
      <c r="J80" s="459">
        <f t="shared" si="6"/>
        <v>0</v>
      </c>
    </row>
    <row r="81" spans="2:10" x14ac:dyDescent="0.2">
      <c r="B81" s="459">
        <f t="shared" si="7"/>
        <v>24</v>
      </c>
      <c r="C81" s="459" t="str">
        <f>MID(Welcome!$C$18,B81,1)</f>
        <v/>
      </c>
      <c r="D81" s="459">
        <f t="shared" si="3"/>
        <v>0</v>
      </c>
      <c r="E81" s="459">
        <f t="shared" si="4"/>
        <v>0</v>
      </c>
      <c r="G81" s="459">
        <f t="shared" si="8"/>
        <v>24</v>
      </c>
      <c r="H81" s="459" t="str">
        <f t="shared" si="9"/>
        <v/>
      </c>
      <c r="I81" s="459">
        <f t="shared" si="5"/>
        <v>0</v>
      </c>
      <c r="J81" s="459">
        <f t="shared" si="6"/>
        <v>0</v>
      </c>
    </row>
    <row r="82" spans="2:10" x14ac:dyDescent="0.2">
      <c r="B82" s="459">
        <f t="shared" si="7"/>
        <v>25</v>
      </c>
      <c r="C82" s="459" t="str">
        <f>MID(Welcome!$C$18,B82,1)</f>
        <v/>
      </c>
      <c r="D82" s="459">
        <f t="shared" si="3"/>
        <v>0</v>
      </c>
      <c r="E82" s="459">
        <f t="shared" si="4"/>
        <v>0</v>
      </c>
      <c r="G82" s="459">
        <f t="shared" si="8"/>
        <v>25</v>
      </c>
      <c r="H82" s="459" t="str">
        <f t="shared" si="9"/>
        <v/>
      </c>
      <c r="I82" s="459">
        <f t="shared" si="5"/>
        <v>0</v>
      </c>
      <c r="J82" s="459">
        <f t="shared" si="6"/>
        <v>0</v>
      </c>
    </row>
    <row r="83" spans="2:10" x14ac:dyDescent="0.2">
      <c r="B83" s="459">
        <f t="shared" si="7"/>
        <v>26</v>
      </c>
      <c r="C83" s="459" t="str">
        <f>MID(Welcome!$C$18,B83,1)</f>
        <v/>
      </c>
      <c r="D83" s="459">
        <f t="shared" si="3"/>
        <v>0</v>
      </c>
      <c r="E83" s="459">
        <f t="shared" si="4"/>
        <v>0</v>
      </c>
      <c r="G83" s="459">
        <f t="shared" si="8"/>
        <v>26</v>
      </c>
      <c r="H83" s="459" t="str">
        <f t="shared" si="9"/>
        <v/>
      </c>
      <c r="I83" s="459">
        <f t="shared" si="5"/>
        <v>0</v>
      </c>
      <c r="J83" s="459">
        <f t="shared" si="6"/>
        <v>0</v>
      </c>
    </row>
    <row r="84" spans="2:10" x14ac:dyDescent="0.2">
      <c r="B84" s="459">
        <f t="shared" si="7"/>
        <v>27</v>
      </c>
      <c r="C84" s="459" t="str">
        <f>MID(Welcome!$C$18,B84,1)</f>
        <v/>
      </c>
      <c r="D84" s="459">
        <f t="shared" si="3"/>
        <v>0</v>
      </c>
      <c r="E84" s="459">
        <f t="shared" si="4"/>
        <v>0</v>
      </c>
      <c r="G84" s="459">
        <f t="shared" si="8"/>
        <v>27</v>
      </c>
      <c r="H84" s="459" t="str">
        <f t="shared" si="9"/>
        <v/>
      </c>
      <c r="I84" s="459">
        <f t="shared" si="5"/>
        <v>0</v>
      </c>
      <c r="J84" s="459">
        <f t="shared" si="6"/>
        <v>0</v>
      </c>
    </row>
    <row r="85" spans="2:10" x14ac:dyDescent="0.2">
      <c r="B85" s="459">
        <f t="shared" si="7"/>
        <v>28</v>
      </c>
      <c r="C85" s="459" t="str">
        <f>MID(Welcome!$C$18,B85,1)</f>
        <v/>
      </c>
      <c r="D85" s="459">
        <f t="shared" si="3"/>
        <v>0</v>
      </c>
      <c r="E85" s="459">
        <f t="shared" si="4"/>
        <v>0</v>
      </c>
      <c r="G85" s="459">
        <f t="shared" si="8"/>
        <v>28</v>
      </c>
      <c r="H85" s="459" t="str">
        <f t="shared" si="9"/>
        <v/>
      </c>
      <c r="I85" s="459">
        <f t="shared" si="5"/>
        <v>0</v>
      </c>
      <c r="J85" s="459">
        <f t="shared" si="6"/>
        <v>0</v>
      </c>
    </row>
    <row r="86" spans="2:10" x14ac:dyDescent="0.2">
      <c r="B86" s="459">
        <f t="shared" si="7"/>
        <v>29</v>
      </c>
      <c r="C86" s="459" t="str">
        <f>MID(Welcome!$C$18,B86,1)</f>
        <v/>
      </c>
      <c r="D86" s="459">
        <f t="shared" si="3"/>
        <v>0</v>
      </c>
      <c r="E86" s="459">
        <f t="shared" si="4"/>
        <v>0</v>
      </c>
      <c r="G86" s="459">
        <f t="shared" si="8"/>
        <v>29</v>
      </c>
      <c r="H86" s="459" t="str">
        <f t="shared" si="9"/>
        <v/>
      </c>
      <c r="I86" s="459">
        <f t="shared" si="5"/>
        <v>0</v>
      </c>
      <c r="J86" s="459">
        <f t="shared" si="6"/>
        <v>0</v>
      </c>
    </row>
    <row r="87" spans="2:10" x14ac:dyDescent="0.2">
      <c r="B87" s="459">
        <f t="shared" si="7"/>
        <v>30</v>
      </c>
      <c r="C87" s="459" t="str">
        <f>MID(Welcome!$C$18,B87,1)</f>
        <v/>
      </c>
      <c r="D87" s="459">
        <f t="shared" si="3"/>
        <v>0</v>
      </c>
      <c r="E87" s="459">
        <f t="shared" si="4"/>
        <v>0</v>
      </c>
      <c r="G87" s="459">
        <f t="shared" si="8"/>
        <v>30</v>
      </c>
      <c r="H87" s="459" t="str">
        <f t="shared" si="9"/>
        <v/>
      </c>
      <c r="I87" s="459">
        <f t="shared" si="5"/>
        <v>0</v>
      </c>
      <c r="J87" s="459">
        <f t="shared" si="6"/>
        <v>0</v>
      </c>
    </row>
    <row r="88" spans="2:10" x14ac:dyDescent="0.2">
      <c r="B88" s="459">
        <f t="shared" si="7"/>
        <v>31</v>
      </c>
      <c r="C88" s="459" t="str">
        <f>MID(Welcome!$C$18,B88,1)</f>
        <v/>
      </c>
      <c r="D88" s="459">
        <f t="shared" si="3"/>
        <v>0</v>
      </c>
      <c r="E88" s="459">
        <f t="shared" si="4"/>
        <v>0</v>
      </c>
      <c r="G88" s="459">
        <f t="shared" si="8"/>
        <v>31</v>
      </c>
      <c r="H88" s="459" t="str">
        <f t="shared" si="9"/>
        <v/>
      </c>
      <c r="I88" s="459">
        <f t="shared" si="5"/>
        <v>0</v>
      </c>
      <c r="J88" s="459">
        <f t="shared" si="6"/>
        <v>0</v>
      </c>
    </row>
    <row r="89" spans="2:10" x14ac:dyDescent="0.2">
      <c r="B89" s="459">
        <f t="shared" si="7"/>
        <v>32</v>
      </c>
      <c r="C89" s="459" t="str">
        <f>MID(Welcome!$C$18,B89,1)</f>
        <v/>
      </c>
      <c r="D89" s="459">
        <f t="shared" si="3"/>
        <v>0</v>
      </c>
      <c r="E89" s="459">
        <f t="shared" si="4"/>
        <v>0</v>
      </c>
      <c r="G89" s="459">
        <f t="shared" si="8"/>
        <v>32</v>
      </c>
      <c r="H89" s="459" t="str">
        <f t="shared" si="9"/>
        <v/>
      </c>
      <c r="I89" s="459">
        <f t="shared" si="5"/>
        <v>0</v>
      </c>
      <c r="J89" s="459">
        <f t="shared" si="6"/>
        <v>0</v>
      </c>
    </row>
    <row r="90" spans="2:10" x14ac:dyDescent="0.2">
      <c r="B90" s="459">
        <f t="shared" si="7"/>
        <v>33</v>
      </c>
      <c r="C90" s="459" t="str">
        <f>MID(Welcome!$C$18,B90,1)</f>
        <v/>
      </c>
      <c r="D90" s="459">
        <f t="shared" si="3"/>
        <v>0</v>
      </c>
      <c r="E90" s="459">
        <f t="shared" si="4"/>
        <v>0</v>
      </c>
      <c r="G90" s="459">
        <f t="shared" si="8"/>
        <v>33</v>
      </c>
      <c r="H90" s="459" t="str">
        <f t="shared" si="9"/>
        <v/>
      </c>
      <c r="I90" s="459">
        <f t="shared" si="5"/>
        <v>0</v>
      </c>
      <c r="J90" s="459">
        <f t="shared" si="6"/>
        <v>0</v>
      </c>
    </row>
    <row r="91" spans="2:10" x14ac:dyDescent="0.2">
      <c r="B91" s="459">
        <f t="shared" si="7"/>
        <v>34</v>
      </c>
      <c r="C91" s="459" t="str">
        <f>MID(Welcome!$C$18,B91,1)</f>
        <v/>
      </c>
      <c r="D91" s="459">
        <f t="shared" si="3"/>
        <v>0</v>
      </c>
      <c r="E91" s="459">
        <f t="shared" si="4"/>
        <v>0</v>
      </c>
      <c r="G91" s="459">
        <f t="shared" si="8"/>
        <v>34</v>
      </c>
      <c r="H91" s="459" t="str">
        <f t="shared" si="9"/>
        <v/>
      </c>
      <c r="I91" s="459">
        <f t="shared" si="5"/>
        <v>0</v>
      </c>
      <c r="J91" s="459">
        <f t="shared" si="6"/>
        <v>0</v>
      </c>
    </row>
    <row r="92" spans="2:10" x14ac:dyDescent="0.2">
      <c r="B92" s="459">
        <f t="shared" si="7"/>
        <v>35</v>
      </c>
      <c r="C92" s="459" t="str">
        <f>MID(Welcome!$C$18,B92,1)</f>
        <v/>
      </c>
      <c r="D92" s="459">
        <f t="shared" si="3"/>
        <v>0</v>
      </c>
      <c r="E92" s="459">
        <f t="shared" si="4"/>
        <v>0</v>
      </c>
      <c r="G92" s="459">
        <f t="shared" si="8"/>
        <v>35</v>
      </c>
      <c r="H92" s="459" t="str">
        <f t="shared" si="9"/>
        <v/>
      </c>
      <c r="I92" s="459">
        <f t="shared" si="5"/>
        <v>0</v>
      </c>
      <c r="J92" s="459">
        <f t="shared" si="6"/>
        <v>0</v>
      </c>
    </row>
    <row r="93" spans="2:10" x14ac:dyDescent="0.2">
      <c r="B93" s="459">
        <f t="shared" si="7"/>
        <v>36</v>
      </c>
      <c r="C93" s="459" t="str">
        <f>MID(Welcome!$C$18,B93,1)</f>
        <v/>
      </c>
      <c r="D93" s="459">
        <f t="shared" si="3"/>
        <v>0</v>
      </c>
      <c r="E93" s="459">
        <f t="shared" si="4"/>
        <v>0</v>
      </c>
      <c r="G93" s="459">
        <f t="shared" si="8"/>
        <v>36</v>
      </c>
      <c r="H93" s="459" t="str">
        <f t="shared" si="9"/>
        <v/>
      </c>
      <c r="I93" s="459">
        <f t="shared" si="5"/>
        <v>0</v>
      </c>
      <c r="J93" s="459">
        <f t="shared" si="6"/>
        <v>0</v>
      </c>
    </row>
    <row r="94" spans="2:10" x14ac:dyDescent="0.2">
      <c r="B94" s="459">
        <f t="shared" si="7"/>
        <v>37</v>
      </c>
      <c r="C94" s="459" t="str">
        <f>MID(Welcome!$C$18,B94,1)</f>
        <v/>
      </c>
      <c r="D94" s="459">
        <f t="shared" si="3"/>
        <v>0</v>
      </c>
      <c r="E94" s="459">
        <f t="shared" si="4"/>
        <v>0</v>
      </c>
      <c r="G94" s="459">
        <f t="shared" si="8"/>
        <v>37</v>
      </c>
      <c r="H94" s="459" t="str">
        <f t="shared" si="9"/>
        <v/>
      </c>
      <c r="I94" s="459">
        <f t="shared" si="5"/>
        <v>0</v>
      </c>
      <c r="J94" s="459">
        <f t="shared" si="6"/>
        <v>0</v>
      </c>
    </row>
    <row r="95" spans="2:10" x14ac:dyDescent="0.2">
      <c r="B95" s="459">
        <f t="shared" si="7"/>
        <v>38</v>
      </c>
      <c r="C95" s="459" t="str">
        <f>MID(Welcome!$C$18,B95,1)</f>
        <v/>
      </c>
      <c r="D95" s="459">
        <f t="shared" si="3"/>
        <v>0</v>
      </c>
      <c r="E95" s="459">
        <f t="shared" si="4"/>
        <v>0</v>
      </c>
      <c r="G95" s="459">
        <f t="shared" si="8"/>
        <v>38</v>
      </c>
      <c r="H95" s="459" t="str">
        <f t="shared" si="9"/>
        <v/>
      </c>
      <c r="I95" s="459">
        <f t="shared" si="5"/>
        <v>0</v>
      </c>
      <c r="J95" s="459">
        <f t="shared" si="6"/>
        <v>0</v>
      </c>
    </row>
    <row r="96" spans="2:10" x14ac:dyDescent="0.2">
      <c r="B96" s="459">
        <f t="shared" si="7"/>
        <v>39</v>
      </c>
      <c r="C96" s="459" t="str">
        <f>MID(Welcome!$C$18,B96,1)</f>
        <v/>
      </c>
      <c r="D96" s="459">
        <f t="shared" si="3"/>
        <v>0</v>
      </c>
      <c r="E96" s="459">
        <f t="shared" si="4"/>
        <v>0</v>
      </c>
      <c r="G96" s="459">
        <f t="shared" si="8"/>
        <v>39</v>
      </c>
      <c r="H96" s="459" t="str">
        <f t="shared" si="9"/>
        <v/>
      </c>
      <c r="I96" s="459">
        <f t="shared" si="5"/>
        <v>0</v>
      </c>
      <c r="J96" s="459">
        <f t="shared" si="6"/>
        <v>0</v>
      </c>
    </row>
    <row r="97" spans="2:10" x14ac:dyDescent="0.2">
      <c r="B97" s="459">
        <f t="shared" si="7"/>
        <v>40</v>
      </c>
      <c r="C97" s="459" t="str">
        <f>MID(Welcome!$C$18,B97,1)</f>
        <v/>
      </c>
      <c r="D97" s="459">
        <f t="shared" si="3"/>
        <v>0</v>
      </c>
      <c r="E97" s="459">
        <f t="shared" si="4"/>
        <v>0</v>
      </c>
      <c r="G97" s="459">
        <f t="shared" si="8"/>
        <v>40</v>
      </c>
      <c r="H97" s="459" t="str">
        <f t="shared" si="9"/>
        <v/>
      </c>
      <c r="I97" s="459">
        <f t="shared" si="5"/>
        <v>0</v>
      </c>
      <c r="J97" s="459">
        <f t="shared" si="6"/>
        <v>0</v>
      </c>
    </row>
    <row r="98" spans="2:10" x14ac:dyDescent="0.2">
      <c r="B98" s="459">
        <f t="shared" si="7"/>
        <v>41</v>
      </c>
      <c r="C98" s="459" t="str">
        <f>MID(Welcome!$C$18,B98,1)</f>
        <v/>
      </c>
      <c r="D98" s="459">
        <f t="shared" si="3"/>
        <v>0</v>
      </c>
      <c r="E98" s="459">
        <f t="shared" si="4"/>
        <v>0</v>
      </c>
      <c r="G98" s="459">
        <f t="shared" si="8"/>
        <v>41</v>
      </c>
      <c r="H98" s="459" t="str">
        <f t="shared" si="9"/>
        <v/>
      </c>
      <c r="I98" s="459">
        <f t="shared" si="5"/>
        <v>0</v>
      </c>
      <c r="J98" s="459">
        <f t="shared" si="6"/>
        <v>0</v>
      </c>
    </row>
    <row r="99" spans="2:10" x14ac:dyDescent="0.2">
      <c r="B99" s="459">
        <f t="shared" si="7"/>
        <v>42</v>
      </c>
      <c r="C99" s="459" t="str">
        <f>MID(Welcome!$C$18,B99,1)</f>
        <v/>
      </c>
      <c r="D99" s="459">
        <f t="shared" si="3"/>
        <v>0</v>
      </c>
      <c r="E99" s="459">
        <f t="shared" si="4"/>
        <v>0</v>
      </c>
      <c r="G99" s="459">
        <f t="shared" si="8"/>
        <v>42</v>
      </c>
      <c r="H99" s="459" t="str">
        <f t="shared" si="9"/>
        <v/>
      </c>
      <c r="I99" s="459">
        <f t="shared" si="5"/>
        <v>0</v>
      </c>
      <c r="J99" s="459">
        <f t="shared" si="6"/>
        <v>0</v>
      </c>
    </row>
    <row r="100" spans="2:10" x14ac:dyDescent="0.2">
      <c r="B100" s="459">
        <f t="shared" si="7"/>
        <v>43</v>
      </c>
      <c r="C100" s="459" t="str">
        <f>MID(Welcome!$C$18,B100,1)</f>
        <v/>
      </c>
      <c r="D100" s="459">
        <f t="shared" si="3"/>
        <v>0</v>
      </c>
      <c r="E100" s="459">
        <f t="shared" si="4"/>
        <v>0</v>
      </c>
      <c r="G100" s="459">
        <f t="shared" si="8"/>
        <v>43</v>
      </c>
      <c r="H100" s="459" t="str">
        <f t="shared" si="9"/>
        <v/>
      </c>
      <c r="I100" s="459">
        <f t="shared" si="5"/>
        <v>0</v>
      </c>
      <c r="J100" s="459">
        <f t="shared" si="6"/>
        <v>0</v>
      </c>
    </row>
    <row r="101" spans="2:10" x14ac:dyDescent="0.2">
      <c r="B101" s="459">
        <f t="shared" si="7"/>
        <v>44</v>
      </c>
      <c r="C101" s="459" t="str">
        <f>MID(Welcome!$C$18,B101,1)</f>
        <v/>
      </c>
      <c r="D101" s="459">
        <f t="shared" si="3"/>
        <v>0</v>
      </c>
      <c r="E101" s="459">
        <f t="shared" si="4"/>
        <v>0</v>
      </c>
      <c r="G101" s="459">
        <f t="shared" si="8"/>
        <v>44</v>
      </c>
      <c r="H101" s="459" t="str">
        <f t="shared" si="9"/>
        <v/>
      </c>
      <c r="I101" s="459">
        <f t="shared" si="5"/>
        <v>0</v>
      </c>
      <c r="J101" s="459">
        <f t="shared" si="6"/>
        <v>0</v>
      </c>
    </row>
    <row r="102" spans="2:10" x14ac:dyDescent="0.2">
      <c r="B102" s="459">
        <f t="shared" si="7"/>
        <v>45</v>
      </c>
      <c r="C102" s="459" t="str">
        <f>MID(Welcome!$C$18,B102,1)</f>
        <v/>
      </c>
      <c r="D102" s="459">
        <f t="shared" si="3"/>
        <v>0</v>
      </c>
      <c r="E102" s="459">
        <f t="shared" si="4"/>
        <v>0</v>
      </c>
      <c r="G102" s="459">
        <f t="shared" si="8"/>
        <v>45</v>
      </c>
      <c r="H102" s="459" t="str">
        <f t="shared" si="9"/>
        <v/>
      </c>
      <c r="I102" s="459">
        <f t="shared" si="5"/>
        <v>0</v>
      </c>
      <c r="J102" s="459">
        <f t="shared" si="6"/>
        <v>0</v>
      </c>
    </row>
    <row r="103" spans="2:10" x14ac:dyDescent="0.2">
      <c r="B103" s="459">
        <f t="shared" si="7"/>
        <v>46</v>
      </c>
      <c r="C103" s="459" t="str">
        <f>MID(Welcome!$C$18,B103,1)</f>
        <v/>
      </c>
      <c r="D103" s="459">
        <f t="shared" si="3"/>
        <v>0</v>
      </c>
      <c r="E103" s="459">
        <f t="shared" si="4"/>
        <v>0</v>
      </c>
      <c r="G103" s="459">
        <f t="shared" si="8"/>
        <v>46</v>
      </c>
      <c r="H103" s="459" t="str">
        <f t="shared" si="9"/>
        <v/>
      </c>
      <c r="I103" s="459">
        <f t="shared" si="5"/>
        <v>0</v>
      </c>
      <c r="J103" s="459">
        <f t="shared" si="6"/>
        <v>0</v>
      </c>
    </row>
    <row r="104" spans="2:10" x14ac:dyDescent="0.2">
      <c r="B104" s="459">
        <f t="shared" si="7"/>
        <v>47</v>
      </c>
      <c r="C104" s="459" t="str">
        <f>MID(Welcome!$C$18,B104,1)</f>
        <v/>
      </c>
      <c r="D104" s="459">
        <f t="shared" si="3"/>
        <v>0</v>
      </c>
      <c r="E104" s="459">
        <f t="shared" si="4"/>
        <v>0</v>
      </c>
      <c r="G104" s="459">
        <f t="shared" si="8"/>
        <v>47</v>
      </c>
      <c r="H104" s="459" t="str">
        <f t="shared" si="9"/>
        <v/>
      </c>
      <c r="I104" s="459">
        <f t="shared" si="5"/>
        <v>0</v>
      </c>
      <c r="J104" s="459">
        <f t="shared" si="6"/>
        <v>0</v>
      </c>
    </row>
    <row r="105" spans="2:10" x14ac:dyDescent="0.2">
      <c r="B105" s="459">
        <f t="shared" si="7"/>
        <v>48</v>
      </c>
      <c r="C105" s="459" t="str">
        <f>MID(Welcome!$C$18,B105,1)</f>
        <v/>
      </c>
      <c r="D105" s="459">
        <f t="shared" si="3"/>
        <v>0</v>
      </c>
      <c r="E105" s="459">
        <f t="shared" si="4"/>
        <v>0</v>
      </c>
      <c r="G105" s="459">
        <f t="shared" si="8"/>
        <v>48</v>
      </c>
      <c r="H105" s="459" t="str">
        <f t="shared" si="9"/>
        <v/>
      </c>
      <c r="I105" s="459">
        <f t="shared" si="5"/>
        <v>0</v>
      </c>
      <c r="J105" s="459">
        <f t="shared" si="6"/>
        <v>0</v>
      </c>
    </row>
    <row r="106" spans="2:10" x14ac:dyDescent="0.2">
      <c r="B106" s="459">
        <f t="shared" si="7"/>
        <v>49</v>
      </c>
      <c r="C106" s="459" t="str">
        <f>MID(Welcome!$C$18,B106,1)</f>
        <v/>
      </c>
      <c r="D106" s="459">
        <f t="shared" si="3"/>
        <v>0</v>
      </c>
      <c r="E106" s="459">
        <f t="shared" si="4"/>
        <v>0</v>
      </c>
      <c r="G106" s="459">
        <f t="shared" si="8"/>
        <v>49</v>
      </c>
      <c r="H106" s="459" t="str">
        <f t="shared" si="9"/>
        <v/>
      </c>
      <c r="I106" s="459">
        <f t="shared" si="5"/>
        <v>0</v>
      </c>
      <c r="J106" s="459">
        <f t="shared" si="6"/>
        <v>0</v>
      </c>
    </row>
    <row r="107" spans="2:10" x14ac:dyDescent="0.2">
      <c r="B107" s="459">
        <f t="shared" si="7"/>
        <v>50</v>
      </c>
      <c r="C107" s="459" t="str">
        <f>MID(Welcome!$C$18,B107,1)</f>
        <v/>
      </c>
      <c r="D107" s="459">
        <f t="shared" si="3"/>
        <v>0</v>
      </c>
      <c r="E107" s="459">
        <f t="shared" si="4"/>
        <v>0</v>
      </c>
      <c r="G107" s="459">
        <f t="shared" si="8"/>
        <v>50</v>
      </c>
      <c r="H107" s="459" t="str">
        <f t="shared" si="9"/>
        <v/>
      </c>
      <c r="I107" s="459">
        <f t="shared" si="5"/>
        <v>0</v>
      </c>
      <c r="J107" s="459">
        <f t="shared" si="6"/>
        <v>0</v>
      </c>
    </row>
  </sheetData>
  <sheetProtection algorithmName="SHA-512" hashValue="UFrP1uVk5Ol74TTGTCbBvbgODI4FgrV+xyUCZhlNy4wMJgBIC+WGUTgG+elrA2TWbGPinGHa8/h9UcWcR3JY8g==" saltValue="tyjhbeLd3woUvyJlUYKN/Q==" spinCount="100000" sheet="1" objects="1" scenarios="1" formatCells="0" formatColumns="0" formatRows="0" selectLockedCells="1" selectUnlockedCell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12</vt:i4>
      </vt:variant>
      <vt:variant>
        <vt:lpstr>Charts</vt:lpstr>
      </vt:variant>
      <vt:variant>
        <vt:i4>6</vt:i4>
      </vt:variant>
      <vt:variant>
        <vt:lpstr>Named Ranges</vt:lpstr>
      </vt:variant>
      <vt:variant>
        <vt:i4>19</vt:i4>
      </vt:variant>
    </vt:vector>
  </HeadingPairs>
  <TitlesOfParts>
    <vt:vector size="37" baseType="lpstr">
      <vt:lpstr>Macros Required</vt:lpstr>
      <vt:lpstr>Welcome</vt:lpstr>
      <vt:lpstr>Input</vt:lpstr>
      <vt:lpstr>Sensitivity Analysis</vt:lpstr>
      <vt:lpstr>Expected Results</vt:lpstr>
      <vt:lpstr>Optimistic Results</vt:lpstr>
      <vt:lpstr>Pessimistic Results</vt:lpstr>
      <vt:lpstr>Budget by Month Master</vt:lpstr>
      <vt:lpstr>Budget by Month</vt:lpstr>
      <vt:lpstr>Instructions</vt:lpstr>
      <vt:lpstr>Worksheet</vt:lpstr>
      <vt:lpstr>Scratch</vt:lpstr>
      <vt:lpstr>Forecast Revenue Chart</vt:lpstr>
      <vt:lpstr>Forecast Surplus Chart</vt:lpstr>
      <vt:lpstr>Forecast Return Chart</vt:lpstr>
      <vt:lpstr>Operating Surplus Chart</vt:lpstr>
      <vt:lpstr>Budget by Month Master Chart</vt:lpstr>
      <vt:lpstr>Budget by Month Chart</vt:lpstr>
      <vt:lpstr>buyurl</vt:lpstr>
      <vt:lpstr>inbusname</vt:lpstr>
      <vt:lpstr>inbusrev</vt:lpstr>
      <vt:lpstr>infixcost</vt:lpstr>
      <vt:lpstr>inmonper</vt:lpstr>
      <vt:lpstr>invarcost</vt:lpstr>
      <vt:lpstr>licCode</vt:lpstr>
      <vt:lpstr>licEmail</vt:lpstr>
      <vt:lpstr>'Budget by Month'!Print_Area</vt:lpstr>
      <vt:lpstr>'Budget by Month Master'!Print_Area</vt:lpstr>
      <vt:lpstr>'Expected Results'!Print_Area</vt:lpstr>
      <vt:lpstr>Input!Print_Area</vt:lpstr>
      <vt:lpstr>Instructions!Print_Area</vt:lpstr>
      <vt:lpstr>'Macros Required'!Print_Area</vt:lpstr>
      <vt:lpstr>'Optimistic Results'!Print_Area</vt:lpstr>
      <vt:lpstr>'Pessimistic Results'!Print_Area</vt:lpstr>
      <vt:lpstr>Scratch!status</vt:lpstr>
      <vt:lpstr>title</vt:lpstr>
      <vt:lpstr>validTo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Forecast Budget</dc:title>
  <dc:creator>David Morcom</dc:creator>
  <cp:lastModifiedBy>bizpep</cp:lastModifiedBy>
  <cp:lastPrinted>2021-11-20T23:53:50Z</cp:lastPrinted>
  <dcterms:created xsi:type="dcterms:W3CDTF">2000-02-08T04:24:39Z</dcterms:created>
  <dcterms:modified xsi:type="dcterms:W3CDTF">2022-02-25T05:43:23Z</dcterms:modified>
</cp:coreProperties>
</file>